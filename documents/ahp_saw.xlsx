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ternatif" sheetId="1" r:id="rId4"/>
    <sheet state="visible" name="AHP" sheetId="2" r:id="rId5"/>
    <sheet state="visible" name="SAW" sheetId="3" r:id="rId6"/>
  </sheets>
  <definedNames/>
  <calcPr/>
</workbook>
</file>

<file path=xl/sharedStrings.xml><?xml version="1.0" encoding="utf-8"?>
<sst xmlns="http://schemas.openxmlformats.org/spreadsheetml/2006/main" count="243" uniqueCount="147">
  <si>
    <t>No</t>
  </si>
  <si>
    <t>Alternatif (Nama)</t>
  </si>
  <si>
    <t>C1: Harga (Rupiah)</t>
  </si>
  <si>
    <t>C2: RAM (GB)</t>
  </si>
  <si>
    <t>C3: Kamera (MP)</t>
  </si>
  <si>
    <t>C4: Kapasitas Baterai (mAh)</t>
  </si>
  <si>
    <t>C5: Layar (Inch)</t>
  </si>
  <si>
    <t>C6: Memori (GB)</t>
  </si>
  <si>
    <t>A01</t>
  </si>
  <si>
    <t>Samsung Galaxy Z Flip 5</t>
  </si>
  <si>
    <t>A02</t>
  </si>
  <si>
    <t>Xiaomi 14 Ultra</t>
  </si>
  <si>
    <t>A03</t>
  </si>
  <si>
    <t>Poco F6</t>
  </si>
  <si>
    <t>A04</t>
  </si>
  <si>
    <t>Samsung Galaxy S24 Ultra</t>
  </si>
  <si>
    <t>A05</t>
  </si>
  <si>
    <t>Samsung Galaxy S24</t>
  </si>
  <si>
    <t>A06</t>
  </si>
  <si>
    <t>Samsung Galaxy Z Fold 5</t>
  </si>
  <si>
    <t>A07</t>
  </si>
  <si>
    <t>Samsung Galaxy A54 5G</t>
  </si>
  <si>
    <t>A08</t>
  </si>
  <si>
    <t>Samsung Galaxy A34 5G</t>
  </si>
  <si>
    <t>A09</t>
  </si>
  <si>
    <t>Samsung Galaxy A24</t>
  </si>
  <si>
    <t>A10</t>
  </si>
  <si>
    <t>Samsung Galaxy A15 5G</t>
  </si>
  <si>
    <t>A11</t>
  </si>
  <si>
    <t>Xiaomi 14T Pro</t>
  </si>
  <si>
    <t>A12</t>
  </si>
  <si>
    <t>Xiaomi 14T</t>
  </si>
  <si>
    <t>A13</t>
  </si>
  <si>
    <t>Redmi Note 13 Pro 5G</t>
  </si>
  <si>
    <t>A14</t>
  </si>
  <si>
    <t>Redmi Note 13 5G</t>
  </si>
  <si>
    <t>A15</t>
  </si>
  <si>
    <t>Redmi 14C</t>
  </si>
  <si>
    <t>A16</t>
  </si>
  <si>
    <t>Poco X6 Pro 5G</t>
  </si>
  <si>
    <t>A17</t>
  </si>
  <si>
    <t>Poco X6 5G</t>
  </si>
  <si>
    <t>A18</t>
  </si>
  <si>
    <t>Poco C75</t>
  </si>
  <si>
    <t>A19</t>
  </si>
  <si>
    <t>Samsung Galaxy S25 Ultra</t>
  </si>
  <si>
    <t>A20</t>
  </si>
  <si>
    <t>Xiaomi 14 Pro</t>
  </si>
  <si>
    <t>A21</t>
  </si>
  <si>
    <t>Oppo Find X7</t>
  </si>
  <si>
    <t>A22</t>
  </si>
  <si>
    <t>Samsung Galaxy S23 Ultra</t>
  </si>
  <si>
    <t>A23</t>
  </si>
  <si>
    <t>Xiaomi 13T Pro</t>
  </si>
  <si>
    <t>A24</t>
  </si>
  <si>
    <t>Oppo Find X8</t>
  </si>
  <si>
    <t>A25</t>
  </si>
  <si>
    <t>Oppo Find X8 Pro</t>
  </si>
  <si>
    <t>A26</t>
  </si>
  <si>
    <t>Oppo Reno 12</t>
  </si>
  <si>
    <t>A27</t>
  </si>
  <si>
    <t>Oppo A78 5G</t>
  </si>
  <si>
    <t>A28</t>
  </si>
  <si>
    <t>Vivo V40 5G</t>
  </si>
  <si>
    <t>A29</t>
  </si>
  <si>
    <t>Vivo V30 Pro</t>
  </si>
  <si>
    <t>A30</t>
  </si>
  <si>
    <t>Vivo Y100 5G</t>
  </si>
  <si>
    <t>A31</t>
  </si>
  <si>
    <t>Realme 12 Pro Plus</t>
  </si>
  <si>
    <t>A32</t>
  </si>
  <si>
    <t>Realme 12 Plus 5G</t>
  </si>
  <si>
    <t>A33</t>
  </si>
  <si>
    <t>Realme C67</t>
  </si>
  <si>
    <t>A34</t>
  </si>
  <si>
    <t>Huawei Mate X6</t>
  </si>
  <si>
    <t>A35</t>
  </si>
  <si>
    <t>Huawei Pura 70 Ultra</t>
  </si>
  <si>
    <t>A36</t>
  </si>
  <si>
    <t>Huawei P50 Pro</t>
  </si>
  <si>
    <t>A37</t>
  </si>
  <si>
    <t>Huawei Nova 9</t>
  </si>
  <si>
    <t>A38</t>
  </si>
  <si>
    <t>Huawei Mate 40 Pro</t>
  </si>
  <si>
    <t>A39</t>
  </si>
  <si>
    <t>Huawei Mate 30 Pro</t>
  </si>
  <si>
    <t>A40</t>
  </si>
  <si>
    <t>Huawei P40 Pro</t>
  </si>
  <si>
    <t>A41</t>
  </si>
  <si>
    <t>Huawei Mate Xs</t>
  </si>
  <si>
    <t>A42</t>
  </si>
  <si>
    <t>Samsung Galaxy Z Flip7</t>
  </si>
  <si>
    <t>A43</t>
  </si>
  <si>
    <t>Samsung Galaxy A17 5G</t>
  </si>
  <si>
    <t>A44</t>
  </si>
  <si>
    <t>Samsung Galaxy S25</t>
  </si>
  <si>
    <t>A45</t>
  </si>
  <si>
    <t>Infinix Hot 50 5G</t>
  </si>
  <si>
    <t>A46</t>
  </si>
  <si>
    <t>Infinix Hot 60 Pro</t>
  </si>
  <si>
    <t>A47</t>
  </si>
  <si>
    <t>Infinix GT 30 Pro</t>
  </si>
  <si>
    <t>A48</t>
  </si>
  <si>
    <t>Infinix Hot 60i</t>
  </si>
  <si>
    <t>A49</t>
  </si>
  <si>
    <t>Realme Narzo 60</t>
  </si>
  <si>
    <t>A50</t>
  </si>
  <si>
    <t>Infinix Note 20</t>
  </si>
  <si>
    <t>Kriteria</t>
  </si>
  <si>
    <t>Kode</t>
  </si>
  <si>
    <t>Nama</t>
  </si>
  <si>
    <t>C1</t>
  </si>
  <si>
    <t>Harga</t>
  </si>
  <si>
    <t>C2</t>
  </si>
  <si>
    <t>RAM</t>
  </si>
  <si>
    <t>C3</t>
  </si>
  <si>
    <t>Kamera</t>
  </si>
  <si>
    <t>C4</t>
  </si>
  <si>
    <t>Baterai</t>
  </si>
  <si>
    <t>C5</t>
  </si>
  <si>
    <t>Layar</t>
  </si>
  <si>
    <t>C6</t>
  </si>
  <si>
    <t>Memori</t>
  </si>
  <si>
    <t>Matriks Berpasangan</t>
  </si>
  <si>
    <t>Jumlah</t>
  </si>
  <si>
    <t>Normalisasi</t>
  </si>
  <si>
    <t>Prioritas</t>
  </si>
  <si>
    <t>Matriks Penjumlahan</t>
  </si>
  <si>
    <t>Ratio Konsistensi</t>
  </si>
  <si>
    <t>Hasil</t>
  </si>
  <si>
    <t>Lambda Maksimal</t>
  </si>
  <si>
    <t>CI</t>
  </si>
  <si>
    <t>CR</t>
  </si>
  <si>
    <t>Jumlah Kriteria</t>
  </si>
  <si>
    <t>Nilai IR</t>
  </si>
  <si>
    <t>Tipe</t>
  </si>
  <si>
    <t>Bobot</t>
  </si>
  <si>
    <t>Cost</t>
  </si>
  <si>
    <t>Benefit</t>
  </si>
  <si>
    <t>Alternatif</t>
  </si>
  <si>
    <t>Normalisasi Matriks Keputusan</t>
  </si>
  <si>
    <t>Normalisasi Alternatif</t>
  </si>
  <si>
    <t>Perhitungan Akhir</t>
  </si>
  <si>
    <t>Total</t>
  </si>
  <si>
    <t>Ranking</t>
  </si>
  <si>
    <t>Nilai</t>
  </si>
  <si>
    <t>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</si>
</sst>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/>
    <font>
      <color theme="1"/>
      <name val="Times New Roman"/>
    </font>
    <font>
      <b/>
      <sz val="12.0"/>
      <color rgb="FF333333"/>
      <name val="Times New Roman"/>
    </font>
    <font>
      <sz val="12.0"/>
      <color rgb="FF333333"/>
      <name val="Times New Roman"/>
    </font>
    <font>
      <color theme="1"/>
      <name val="Arial"/>
      <scheme val="minor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3" numFmtId="0" xfId="0" applyBorder="1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2" numFmtId="0" xfId="0" applyFont="1"/>
    <xf borderId="1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4" fillId="0" fontId="3" numFmtId="0" xfId="0" applyBorder="1" applyFont="1"/>
    <xf borderId="1" fillId="0" fontId="2" numFmtId="4" xfId="0" applyAlignment="1" applyBorder="1" applyFont="1" applyNumberFormat="1">
      <alignment horizontal="center" readingOrder="0"/>
    </xf>
    <xf borderId="1" fillId="2" fontId="2" numFmtId="4" xfId="0" applyAlignment="1" applyBorder="1" applyFont="1" applyNumberFormat="1">
      <alignment horizontal="center"/>
    </xf>
    <xf borderId="1" fillId="0" fontId="2" numFmtId="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2" fontId="5" numFmtId="0" xfId="0" applyAlignment="1" applyBorder="1" applyFont="1">
      <alignment horizontal="center" readingOrder="0" vertical="bottom"/>
    </xf>
    <xf borderId="1" fillId="3" fontId="6" numFmtId="0" xfId="0" applyAlignment="1" applyBorder="1" applyFill="1" applyFont="1">
      <alignment horizontal="center" readingOrder="0" vertical="top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6.13"/>
    <col customWidth="1" min="3" max="3" width="18.75"/>
    <col customWidth="1" min="4" max="4" width="20.63"/>
    <col customWidth="1" min="5" max="5" width="16.5"/>
    <col customWidth="1" min="6" max="6" width="26.0"/>
    <col customWidth="1" min="7" max="9" width="23.38"/>
  </cols>
  <sheetData>
    <row r="1" ht="39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1.6E7</v>
      </c>
      <c r="D2" s="2">
        <v>8.0</v>
      </c>
      <c r="E2" s="2">
        <v>12.0</v>
      </c>
      <c r="F2" s="2">
        <v>3700.0</v>
      </c>
      <c r="G2" s="2">
        <v>6.7</v>
      </c>
      <c r="H2" s="2">
        <v>512.0</v>
      </c>
    </row>
    <row r="3">
      <c r="A3" s="2" t="s">
        <v>10</v>
      </c>
      <c r="B3" s="2" t="s">
        <v>11</v>
      </c>
      <c r="C3" s="2">
        <v>1.0E7</v>
      </c>
      <c r="D3" s="2">
        <v>12.0</v>
      </c>
      <c r="E3" s="2">
        <v>50.0</v>
      </c>
      <c r="F3" s="2">
        <v>5000.0</v>
      </c>
      <c r="G3" s="2">
        <v>6.73</v>
      </c>
      <c r="H3" s="2">
        <v>512.0</v>
      </c>
    </row>
    <row r="4">
      <c r="A4" s="2" t="s">
        <v>12</v>
      </c>
      <c r="B4" s="2" t="s">
        <v>13</v>
      </c>
      <c r="C4" s="2">
        <v>5000000.0</v>
      </c>
      <c r="D4" s="2">
        <v>8.0</v>
      </c>
      <c r="E4" s="2">
        <v>64.0</v>
      </c>
      <c r="F4" s="2">
        <v>5100.0</v>
      </c>
      <c r="G4" s="2">
        <v>6.67</v>
      </c>
      <c r="H4" s="2">
        <v>256.0</v>
      </c>
    </row>
    <row r="5">
      <c r="A5" s="2" t="s">
        <v>14</v>
      </c>
      <c r="B5" s="2" t="s">
        <v>15</v>
      </c>
      <c r="C5" s="2">
        <v>2.1999E7</v>
      </c>
      <c r="D5" s="2">
        <v>12.0</v>
      </c>
      <c r="E5" s="2">
        <v>200.0</v>
      </c>
      <c r="F5" s="2">
        <v>5000.0</v>
      </c>
      <c r="G5" s="2">
        <v>6.8</v>
      </c>
      <c r="H5" s="2">
        <v>512.0</v>
      </c>
    </row>
    <row r="6">
      <c r="A6" s="2" t="s">
        <v>16</v>
      </c>
      <c r="B6" s="2" t="s">
        <v>17</v>
      </c>
      <c r="C6" s="2">
        <v>1.4999E7</v>
      </c>
      <c r="D6" s="2">
        <v>8.0</v>
      </c>
      <c r="E6" s="2">
        <v>50.0</v>
      </c>
      <c r="F6" s="2">
        <v>4000.0</v>
      </c>
      <c r="G6" s="2">
        <v>6.2</v>
      </c>
      <c r="H6" s="2">
        <v>256.0</v>
      </c>
    </row>
    <row r="7">
      <c r="A7" s="2" t="s">
        <v>18</v>
      </c>
      <c r="B7" s="2" t="s">
        <v>19</v>
      </c>
      <c r="C7" s="2">
        <v>1.8E7</v>
      </c>
      <c r="D7" s="2">
        <v>12.0</v>
      </c>
      <c r="E7" s="2">
        <v>50.0</v>
      </c>
      <c r="F7" s="2">
        <v>4450.0</v>
      </c>
      <c r="G7" s="2">
        <v>7.6</v>
      </c>
      <c r="H7" s="2">
        <v>512.0</v>
      </c>
    </row>
    <row r="8">
      <c r="A8" s="2" t="s">
        <v>20</v>
      </c>
      <c r="B8" s="2" t="s">
        <v>21</v>
      </c>
      <c r="C8" s="2">
        <v>5999000.0</v>
      </c>
      <c r="D8" s="2">
        <v>8.0</v>
      </c>
      <c r="E8" s="2">
        <v>50.0</v>
      </c>
      <c r="F8" s="2">
        <v>5050.0</v>
      </c>
      <c r="G8" s="2">
        <v>6.4</v>
      </c>
      <c r="H8" s="2">
        <v>256.0</v>
      </c>
    </row>
    <row r="9">
      <c r="A9" s="2" t="s">
        <v>22</v>
      </c>
      <c r="B9" s="2" t="s">
        <v>23</v>
      </c>
      <c r="C9" s="2">
        <v>4999000.0</v>
      </c>
      <c r="D9" s="2">
        <v>8.0</v>
      </c>
      <c r="E9" s="2">
        <v>48.0</v>
      </c>
      <c r="F9" s="2">
        <v>5000.0</v>
      </c>
      <c r="G9" s="2">
        <v>6.65</v>
      </c>
      <c r="H9" s="2">
        <v>256.0</v>
      </c>
    </row>
    <row r="10">
      <c r="A10" s="2" t="s">
        <v>24</v>
      </c>
      <c r="B10" s="2" t="s">
        <v>25</v>
      </c>
      <c r="C10" s="2">
        <v>2899000.0</v>
      </c>
      <c r="D10" s="2">
        <v>8.0</v>
      </c>
      <c r="E10" s="2">
        <v>50.0</v>
      </c>
      <c r="F10" s="2">
        <v>5000.0</v>
      </c>
      <c r="G10" s="2">
        <v>6.5</v>
      </c>
      <c r="H10" s="2">
        <v>128.0</v>
      </c>
    </row>
    <row r="11">
      <c r="A11" s="2" t="s">
        <v>26</v>
      </c>
      <c r="B11" s="2" t="s">
        <v>27</v>
      </c>
      <c r="C11" s="2">
        <v>3599000.0</v>
      </c>
      <c r="D11" s="2">
        <v>8.0</v>
      </c>
      <c r="E11" s="2">
        <v>50.0</v>
      </c>
      <c r="F11" s="2">
        <v>5000.0</v>
      </c>
      <c r="G11" s="2">
        <v>6.5</v>
      </c>
      <c r="H11" s="2">
        <v>256.0</v>
      </c>
    </row>
    <row r="12">
      <c r="A12" s="2" t="s">
        <v>28</v>
      </c>
      <c r="B12" s="2" t="s">
        <v>29</v>
      </c>
      <c r="C12" s="2">
        <v>8499000.0</v>
      </c>
      <c r="D12" s="2">
        <v>12.0</v>
      </c>
      <c r="E12" s="2">
        <v>50.0</v>
      </c>
      <c r="F12" s="2">
        <v>5050.0</v>
      </c>
      <c r="G12" s="2">
        <v>6.68</v>
      </c>
      <c r="H12" s="2">
        <v>256.0</v>
      </c>
    </row>
    <row r="13">
      <c r="A13" s="2" t="s">
        <v>30</v>
      </c>
      <c r="B13" s="2" t="s">
        <v>31</v>
      </c>
      <c r="C13" s="2">
        <v>6499000.0</v>
      </c>
      <c r="D13" s="2">
        <v>8.0</v>
      </c>
      <c r="E13" s="2">
        <v>50.0</v>
      </c>
      <c r="F13" s="2">
        <v>5000.0</v>
      </c>
      <c r="G13" s="2">
        <v>6.67</v>
      </c>
      <c r="H13" s="2">
        <v>256.0</v>
      </c>
    </row>
    <row r="14">
      <c r="A14" s="2" t="s">
        <v>32</v>
      </c>
      <c r="B14" s="2" t="s">
        <v>33</v>
      </c>
      <c r="C14" s="2">
        <v>4300000.0</v>
      </c>
      <c r="D14" s="2">
        <v>8.0</v>
      </c>
      <c r="E14" s="2">
        <v>200.0</v>
      </c>
      <c r="F14" s="2">
        <v>5100.0</v>
      </c>
      <c r="G14" s="2">
        <v>6.67</v>
      </c>
      <c r="H14" s="2">
        <v>256.0</v>
      </c>
    </row>
    <row r="15">
      <c r="A15" s="2" t="s">
        <v>34</v>
      </c>
      <c r="B15" s="2" t="s">
        <v>35</v>
      </c>
      <c r="C15" s="2">
        <v>3299000.0</v>
      </c>
      <c r="D15" s="2">
        <v>6.0</v>
      </c>
      <c r="E15" s="2">
        <v>108.0</v>
      </c>
      <c r="F15" s="2">
        <v>5000.0</v>
      </c>
      <c r="G15" s="2">
        <v>6.67</v>
      </c>
      <c r="H15" s="2">
        <v>128.0</v>
      </c>
    </row>
    <row r="16">
      <c r="A16" s="2" t="s">
        <v>36</v>
      </c>
      <c r="B16" s="2" t="s">
        <v>37</v>
      </c>
      <c r="C16" s="2">
        <v>1599000.0</v>
      </c>
      <c r="D16" s="2">
        <v>8.0</v>
      </c>
      <c r="E16" s="2">
        <v>50.0</v>
      </c>
      <c r="F16" s="2">
        <v>5180.0</v>
      </c>
      <c r="G16" s="2">
        <v>6.88</v>
      </c>
      <c r="H16" s="2">
        <v>128.0</v>
      </c>
    </row>
    <row r="17">
      <c r="A17" s="2" t="s">
        <v>38</v>
      </c>
      <c r="B17" s="2" t="s">
        <v>39</v>
      </c>
      <c r="C17" s="2">
        <v>4349000.0</v>
      </c>
      <c r="D17" s="2">
        <v>8.0</v>
      </c>
      <c r="E17" s="2">
        <v>64.0</v>
      </c>
      <c r="F17" s="2">
        <v>5020.0</v>
      </c>
      <c r="G17" s="2">
        <v>6.67</v>
      </c>
      <c r="H17" s="2">
        <v>256.0</v>
      </c>
    </row>
    <row r="18">
      <c r="A18" s="2" t="s">
        <v>40</v>
      </c>
      <c r="B18" s="2" t="s">
        <v>41</v>
      </c>
      <c r="C18" s="2">
        <v>3999000.0</v>
      </c>
      <c r="D18" s="2">
        <v>8.0</v>
      </c>
      <c r="E18" s="2">
        <v>64.0</v>
      </c>
      <c r="F18" s="2">
        <v>5100.0</v>
      </c>
      <c r="G18" s="2">
        <v>6.67</v>
      </c>
      <c r="H18" s="2">
        <v>256.0</v>
      </c>
    </row>
    <row r="19">
      <c r="A19" s="2" t="s">
        <v>42</v>
      </c>
      <c r="B19" s="2" t="s">
        <v>43</v>
      </c>
      <c r="C19" s="2">
        <v>1399000.0</v>
      </c>
      <c r="D19" s="2">
        <v>6.0</v>
      </c>
      <c r="E19" s="2">
        <v>50.0</v>
      </c>
      <c r="F19" s="2">
        <v>5160.0</v>
      </c>
      <c r="G19" s="2">
        <v>6.88</v>
      </c>
      <c r="H19" s="2">
        <v>256.0</v>
      </c>
    </row>
    <row r="20">
      <c r="A20" s="2" t="s">
        <v>44</v>
      </c>
      <c r="B20" s="2" t="s">
        <v>45</v>
      </c>
      <c r="C20" s="2">
        <v>2.2999E7</v>
      </c>
      <c r="D20" s="2">
        <v>12.0</v>
      </c>
      <c r="E20" s="2">
        <v>200.0</v>
      </c>
      <c r="F20" s="2">
        <v>5050.0</v>
      </c>
      <c r="G20" s="2">
        <v>6.9</v>
      </c>
      <c r="H20" s="2">
        <v>256.0</v>
      </c>
    </row>
    <row r="21">
      <c r="A21" s="2" t="s">
        <v>46</v>
      </c>
      <c r="B21" s="2" t="s">
        <v>47</v>
      </c>
      <c r="C21" s="2">
        <v>1.9999E7</v>
      </c>
      <c r="D21" s="2">
        <v>12.0</v>
      </c>
      <c r="E21" s="2">
        <v>50.0</v>
      </c>
      <c r="F21" s="2">
        <v>5000.0</v>
      </c>
      <c r="G21" s="2">
        <v>6.73</v>
      </c>
      <c r="H21" s="2">
        <v>256.0</v>
      </c>
    </row>
    <row r="22">
      <c r="A22" s="2" t="s">
        <v>48</v>
      </c>
      <c r="B22" s="2" t="s">
        <v>49</v>
      </c>
      <c r="C22" s="2">
        <v>1.4999E7</v>
      </c>
      <c r="D22" s="2">
        <v>12.0</v>
      </c>
      <c r="E22" s="2">
        <v>50.0</v>
      </c>
      <c r="F22" s="2">
        <v>5000.0</v>
      </c>
      <c r="G22" s="2">
        <v>6.8</v>
      </c>
      <c r="H22" s="2">
        <v>256.0</v>
      </c>
    </row>
    <row r="23">
      <c r="A23" s="2" t="s">
        <v>50</v>
      </c>
      <c r="B23" s="2" t="s">
        <v>51</v>
      </c>
      <c r="C23" s="2">
        <v>1.9499E7</v>
      </c>
      <c r="D23" s="2">
        <v>12.0</v>
      </c>
      <c r="E23" s="2">
        <v>200.0</v>
      </c>
      <c r="F23" s="2">
        <v>5000.0</v>
      </c>
      <c r="G23" s="2">
        <v>6.67</v>
      </c>
      <c r="H23" s="2">
        <v>256.0</v>
      </c>
    </row>
    <row r="24">
      <c r="A24" s="2" t="s">
        <v>52</v>
      </c>
      <c r="B24" s="2" t="s">
        <v>53</v>
      </c>
      <c r="C24" s="2">
        <v>1.3499E7</v>
      </c>
      <c r="D24" s="2">
        <v>12.0</v>
      </c>
      <c r="E24" s="2">
        <v>50.0</v>
      </c>
      <c r="F24" s="2">
        <v>5000.0</v>
      </c>
      <c r="G24" s="2">
        <v>6.1</v>
      </c>
      <c r="H24" s="2">
        <v>256.0</v>
      </c>
    </row>
    <row r="25">
      <c r="A25" s="2" t="s">
        <v>54</v>
      </c>
      <c r="B25" s="2" t="s">
        <v>55</v>
      </c>
      <c r="C25" s="2">
        <v>1.3999E7</v>
      </c>
      <c r="D25" s="2">
        <v>12.0</v>
      </c>
      <c r="E25" s="2">
        <v>50.0</v>
      </c>
      <c r="F25" s="2">
        <v>5630.0</v>
      </c>
      <c r="G25" s="2">
        <v>6.59</v>
      </c>
      <c r="H25" s="2">
        <v>256.0</v>
      </c>
    </row>
    <row r="26">
      <c r="A26" s="2" t="s">
        <v>56</v>
      </c>
      <c r="B26" s="2" t="s">
        <v>57</v>
      </c>
      <c r="C26" s="2">
        <v>1.7999E7</v>
      </c>
      <c r="D26" s="2">
        <v>16.0</v>
      </c>
      <c r="E26" s="2">
        <v>50.0</v>
      </c>
      <c r="F26" s="2">
        <v>5910.0</v>
      </c>
      <c r="G26" s="2">
        <v>6.78</v>
      </c>
      <c r="H26" s="2">
        <v>512.0</v>
      </c>
    </row>
    <row r="27">
      <c r="A27" s="2" t="s">
        <v>58</v>
      </c>
      <c r="B27" s="2" t="s">
        <v>59</v>
      </c>
      <c r="C27" s="2">
        <v>5499000.0</v>
      </c>
      <c r="D27" s="2">
        <v>8.0</v>
      </c>
      <c r="E27" s="2">
        <v>50.0</v>
      </c>
      <c r="F27" s="2">
        <v>5000.0</v>
      </c>
      <c r="G27" s="2">
        <v>6.7</v>
      </c>
      <c r="H27" s="2">
        <v>256.0</v>
      </c>
    </row>
    <row r="28">
      <c r="A28" s="2" t="s">
        <v>60</v>
      </c>
      <c r="B28" s="2" t="s">
        <v>61</v>
      </c>
      <c r="C28" s="2">
        <v>2999000.0</v>
      </c>
      <c r="D28" s="2">
        <v>8.0</v>
      </c>
      <c r="E28" s="2">
        <v>50.0</v>
      </c>
      <c r="F28" s="2">
        <v>5000.0</v>
      </c>
      <c r="G28" s="2">
        <v>6.56</v>
      </c>
      <c r="H28" s="2">
        <v>128.0</v>
      </c>
    </row>
    <row r="29">
      <c r="A29" s="2" t="s">
        <v>62</v>
      </c>
      <c r="B29" s="2" t="s">
        <v>63</v>
      </c>
      <c r="C29" s="2">
        <v>6999000.0</v>
      </c>
      <c r="D29" s="2">
        <v>12.0</v>
      </c>
      <c r="E29" s="2">
        <v>50.0</v>
      </c>
      <c r="F29" s="2">
        <v>5500.0</v>
      </c>
      <c r="G29" s="2">
        <v>6.78</v>
      </c>
      <c r="H29" s="2">
        <v>256.0</v>
      </c>
    </row>
    <row r="30">
      <c r="A30" s="2" t="s">
        <v>64</v>
      </c>
      <c r="B30" s="2" t="s">
        <v>65</v>
      </c>
      <c r="C30" s="2">
        <v>8190000.0</v>
      </c>
      <c r="D30" s="2">
        <v>12.0</v>
      </c>
      <c r="E30" s="2">
        <v>50.0</v>
      </c>
      <c r="F30" s="2">
        <v>5000.0</v>
      </c>
      <c r="G30" s="2">
        <v>6.78</v>
      </c>
      <c r="H30" s="2">
        <v>512.0</v>
      </c>
    </row>
    <row r="31">
      <c r="A31" s="2" t="s">
        <v>66</v>
      </c>
      <c r="B31" s="2" t="s">
        <v>67</v>
      </c>
      <c r="C31" s="2">
        <v>3499000.0</v>
      </c>
      <c r="D31" s="2">
        <v>8.0</v>
      </c>
      <c r="E31" s="2">
        <v>50.0</v>
      </c>
      <c r="F31" s="2">
        <v>5000.0</v>
      </c>
      <c r="G31" s="2">
        <v>6.67</v>
      </c>
      <c r="H31" s="2">
        <v>256.0</v>
      </c>
    </row>
    <row r="32">
      <c r="A32" s="2" t="s">
        <v>68</v>
      </c>
      <c r="B32" s="2" t="s">
        <v>69</v>
      </c>
      <c r="C32" s="2">
        <v>6000000.0</v>
      </c>
      <c r="D32" s="2">
        <v>8.0</v>
      </c>
      <c r="E32" s="2">
        <v>50.0</v>
      </c>
      <c r="F32" s="2">
        <v>5000.0</v>
      </c>
      <c r="G32" s="2">
        <v>6.7</v>
      </c>
      <c r="H32" s="2">
        <v>256.0</v>
      </c>
    </row>
    <row r="33">
      <c r="A33" s="2" t="s">
        <v>70</v>
      </c>
      <c r="B33" s="2" t="s">
        <v>71</v>
      </c>
      <c r="C33" s="2">
        <v>4199000.0</v>
      </c>
      <c r="D33" s="2">
        <v>8.0</v>
      </c>
      <c r="E33" s="2">
        <v>50.0</v>
      </c>
      <c r="F33" s="2">
        <v>5000.0</v>
      </c>
      <c r="G33" s="2">
        <v>6.67</v>
      </c>
      <c r="H33" s="2">
        <v>256.0</v>
      </c>
    </row>
    <row r="34">
      <c r="A34" s="2" t="s">
        <v>72</v>
      </c>
      <c r="B34" s="2" t="s">
        <v>73</v>
      </c>
      <c r="C34" s="2">
        <v>2599000.0</v>
      </c>
      <c r="D34" s="2">
        <v>8.0</v>
      </c>
      <c r="E34" s="2">
        <v>108.0</v>
      </c>
      <c r="F34" s="2">
        <v>5000.0</v>
      </c>
      <c r="G34" s="2">
        <v>6.72</v>
      </c>
      <c r="H34" s="2">
        <v>128.0</v>
      </c>
    </row>
    <row r="35">
      <c r="A35" s="2" t="s">
        <v>74</v>
      </c>
      <c r="B35" s="2" t="s">
        <v>75</v>
      </c>
      <c r="C35" s="2">
        <v>2.4999E7</v>
      </c>
      <c r="D35" s="2">
        <v>12.0</v>
      </c>
      <c r="E35" s="2">
        <v>50.0</v>
      </c>
      <c r="F35" s="2">
        <v>5110.0</v>
      </c>
      <c r="G35" s="2">
        <v>7.93</v>
      </c>
      <c r="H35" s="2">
        <v>512.0</v>
      </c>
    </row>
    <row r="36">
      <c r="A36" s="2" t="s">
        <v>76</v>
      </c>
      <c r="B36" s="2" t="s">
        <v>77</v>
      </c>
      <c r="C36" s="2">
        <v>1.7879E7</v>
      </c>
      <c r="D36" s="2">
        <v>16.0</v>
      </c>
      <c r="E36" s="2">
        <v>50.0</v>
      </c>
      <c r="F36" s="2">
        <v>5200.0</v>
      </c>
      <c r="G36" s="2">
        <v>6.8</v>
      </c>
      <c r="H36" s="2">
        <v>512.0</v>
      </c>
    </row>
    <row r="37">
      <c r="A37" s="2" t="s">
        <v>78</v>
      </c>
      <c r="B37" s="2" t="s">
        <v>79</v>
      </c>
      <c r="C37" s="2">
        <v>1.2998E7</v>
      </c>
      <c r="D37" s="2">
        <v>8.0</v>
      </c>
      <c r="E37" s="2">
        <v>64.0</v>
      </c>
      <c r="F37" s="2">
        <v>4360.0</v>
      </c>
      <c r="G37" s="2">
        <v>6.6</v>
      </c>
      <c r="H37" s="2">
        <v>256.0</v>
      </c>
    </row>
    <row r="38">
      <c r="A38" s="2" t="s">
        <v>80</v>
      </c>
      <c r="B38" s="2" t="s">
        <v>81</v>
      </c>
      <c r="C38" s="2">
        <v>5799000.0</v>
      </c>
      <c r="D38" s="2">
        <v>8.0</v>
      </c>
      <c r="E38" s="2">
        <v>50.0</v>
      </c>
      <c r="F38" s="2">
        <v>4300.0</v>
      </c>
      <c r="G38" s="2">
        <v>6.57</v>
      </c>
      <c r="H38" s="2">
        <v>256.0</v>
      </c>
    </row>
    <row r="39">
      <c r="A39" s="2" t="s">
        <v>82</v>
      </c>
      <c r="B39" s="2" t="s">
        <v>83</v>
      </c>
      <c r="C39" s="2">
        <v>1.1499E7</v>
      </c>
      <c r="D39" s="2">
        <v>8.0</v>
      </c>
      <c r="E39" s="2">
        <v>50.0</v>
      </c>
      <c r="F39" s="2">
        <v>4400.0</v>
      </c>
      <c r="G39" s="2">
        <v>6.76</v>
      </c>
      <c r="H39" s="2">
        <v>256.0</v>
      </c>
    </row>
    <row r="40">
      <c r="A40" s="2" t="s">
        <v>84</v>
      </c>
      <c r="B40" s="2" t="s">
        <v>85</v>
      </c>
      <c r="C40" s="2">
        <v>7999000.0</v>
      </c>
      <c r="D40" s="2">
        <v>8.0</v>
      </c>
      <c r="E40" s="2">
        <v>40.0</v>
      </c>
      <c r="F40" s="2">
        <v>4500.0</v>
      </c>
      <c r="G40" s="2">
        <v>6.53</v>
      </c>
      <c r="H40" s="2">
        <v>256.0</v>
      </c>
    </row>
    <row r="41">
      <c r="A41" s="2" t="s">
        <v>86</v>
      </c>
      <c r="B41" s="2" t="s">
        <v>87</v>
      </c>
      <c r="C41" s="2">
        <v>9699000.0</v>
      </c>
      <c r="D41" s="2">
        <v>8.0</v>
      </c>
      <c r="E41" s="2">
        <v>50.0</v>
      </c>
      <c r="F41" s="2">
        <v>4200.0</v>
      </c>
      <c r="G41" s="2">
        <v>6.58</v>
      </c>
      <c r="H41" s="2">
        <v>256.0</v>
      </c>
    </row>
    <row r="42">
      <c r="A42" s="2" t="s">
        <v>88</v>
      </c>
      <c r="B42" s="2" t="s">
        <v>89</v>
      </c>
      <c r="C42" s="2">
        <v>4.1E7</v>
      </c>
      <c r="D42" s="2">
        <v>8.0</v>
      </c>
      <c r="E42" s="2">
        <v>40.0</v>
      </c>
      <c r="F42" s="2">
        <v>4500.0</v>
      </c>
      <c r="G42" s="2">
        <v>8.0</v>
      </c>
      <c r="H42" s="2">
        <v>512.0</v>
      </c>
    </row>
    <row r="43">
      <c r="A43" s="2" t="s">
        <v>90</v>
      </c>
      <c r="B43" s="2" t="s">
        <v>91</v>
      </c>
      <c r="C43" s="2">
        <v>1.6499E7</v>
      </c>
      <c r="D43" s="2">
        <v>12.0</v>
      </c>
      <c r="E43" s="2">
        <v>50.0</v>
      </c>
      <c r="F43" s="2">
        <v>4000.0</v>
      </c>
      <c r="G43" s="2">
        <v>6.7</v>
      </c>
      <c r="H43" s="2">
        <v>256.0</v>
      </c>
    </row>
    <row r="44">
      <c r="A44" s="2" t="s">
        <v>92</v>
      </c>
      <c r="B44" s="2" t="s">
        <v>93</v>
      </c>
      <c r="C44" s="2">
        <v>3599000.0</v>
      </c>
      <c r="D44" s="2">
        <v>8.0</v>
      </c>
      <c r="E44" s="2">
        <v>50.0</v>
      </c>
      <c r="F44" s="2">
        <v>5000.0</v>
      </c>
      <c r="G44" s="2">
        <v>6.7</v>
      </c>
      <c r="H44" s="2">
        <v>256.0</v>
      </c>
    </row>
    <row r="45">
      <c r="A45" s="2" t="s">
        <v>94</v>
      </c>
      <c r="B45" s="2" t="s">
        <v>95</v>
      </c>
      <c r="C45" s="2">
        <v>1.2499E7</v>
      </c>
      <c r="D45" s="2">
        <v>12.0</v>
      </c>
      <c r="E45" s="2">
        <v>50.0</v>
      </c>
      <c r="F45" s="2">
        <v>4050.0</v>
      </c>
      <c r="G45" s="2">
        <v>6.2</v>
      </c>
      <c r="H45" s="2">
        <v>256.0</v>
      </c>
    </row>
    <row r="46">
      <c r="A46" s="2" t="s">
        <v>96</v>
      </c>
      <c r="B46" s="2" t="s">
        <v>97</v>
      </c>
      <c r="C46" s="2">
        <v>2179900.0</v>
      </c>
      <c r="D46" s="2">
        <v>8.0</v>
      </c>
      <c r="E46" s="2">
        <v>48.0</v>
      </c>
      <c r="F46" s="2">
        <v>5000.0</v>
      </c>
      <c r="G46" s="2">
        <v>6.7</v>
      </c>
      <c r="H46" s="2">
        <v>256.0</v>
      </c>
    </row>
    <row r="47">
      <c r="A47" s="2" t="s">
        <v>98</v>
      </c>
      <c r="B47" s="2" t="s">
        <v>99</v>
      </c>
      <c r="C47" s="2">
        <v>2264000.0</v>
      </c>
      <c r="D47" s="2">
        <v>8.0</v>
      </c>
      <c r="E47" s="2">
        <v>50.0</v>
      </c>
      <c r="F47" s="2">
        <v>5160.0</v>
      </c>
      <c r="G47" s="2">
        <v>6.78</v>
      </c>
      <c r="H47" s="2">
        <v>256.0</v>
      </c>
    </row>
    <row r="48">
      <c r="A48" s="2" t="s">
        <v>100</v>
      </c>
      <c r="B48" s="2" t="s">
        <v>101</v>
      </c>
      <c r="C48" s="2">
        <v>4399000.0</v>
      </c>
      <c r="D48" s="2">
        <v>12.0</v>
      </c>
      <c r="E48" s="2">
        <v>108.0</v>
      </c>
      <c r="F48" s="2">
        <v>5200.0</v>
      </c>
      <c r="G48" s="2">
        <v>6.78</v>
      </c>
      <c r="H48" s="2">
        <v>512.0</v>
      </c>
    </row>
    <row r="49">
      <c r="A49" s="2" t="s">
        <v>102</v>
      </c>
      <c r="B49" s="2" t="s">
        <v>103</v>
      </c>
      <c r="C49" s="2">
        <v>1729000.0</v>
      </c>
      <c r="D49" s="2">
        <v>8.0</v>
      </c>
      <c r="E49" s="2">
        <v>50.0</v>
      </c>
      <c r="F49" s="2">
        <v>5160.0</v>
      </c>
      <c r="G49" s="2">
        <v>6.7</v>
      </c>
      <c r="H49" s="2">
        <v>256.0</v>
      </c>
    </row>
    <row r="50">
      <c r="A50" s="2" t="s">
        <v>104</v>
      </c>
      <c r="B50" s="2" t="s">
        <v>105</v>
      </c>
      <c r="C50" s="2">
        <v>3199000.0</v>
      </c>
      <c r="D50" s="2">
        <v>6.0</v>
      </c>
      <c r="E50" s="2">
        <v>50.0</v>
      </c>
      <c r="F50" s="2">
        <v>5000.0</v>
      </c>
      <c r="G50" s="2">
        <v>6.6</v>
      </c>
      <c r="H50" s="2">
        <v>128.0</v>
      </c>
    </row>
    <row r="51">
      <c r="A51" s="2" t="s">
        <v>106</v>
      </c>
      <c r="B51" s="2" t="s">
        <v>107</v>
      </c>
      <c r="C51" s="2">
        <v>2699000.0</v>
      </c>
      <c r="D51" s="2">
        <v>8.0</v>
      </c>
      <c r="E51" s="2">
        <v>64.0</v>
      </c>
      <c r="F51" s="2">
        <v>5200.0</v>
      </c>
      <c r="G51" s="2">
        <v>6.78</v>
      </c>
      <c r="H51" s="2">
        <v>256.0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9.0"/>
    <col customWidth="1" min="3" max="3" width="16.25"/>
    <col customWidth="1" min="4" max="4" width="13.88"/>
    <col customWidth="1" min="9" max="9" width="14.5"/>
  </cols>
  <sheetData>
    <row r="1">
      <c r="A1" s="3" t="s">
        <v>108</v>
      </c>
      <c r="B1" s="4"/>
      <c r="C1" s="5"/>
      <c r="D1" s="6"/>
      <c r="E1" s="6"/>
      <c r="F1" s="6"/>
      <c r="G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109</v>
      </c>
      <c r="B2" s="8" t="s">
        <v>110</v>
      </c>
      <c r="C2" s="9"/>
      <c r="D2" s="6"/>
      <c r="E2" s="6"/>
      <c r="F2" s="6"/>
      <c r="G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111</v>
      </c>
      <c r="B3" s="2" t="s">
        <v>112</v>
      </c>
      <c r="C3" s="10"/>
      <c r="D3" s="6"/>
      <c r="E3" s="6"/>
      <c r="F3" s="6"/>
      <c r="G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113</v>
      </c>
      <c r="B4" s="2" t="s">
        <v>114</v>
      </c>
      <c r="C4" s="10"/>
      <c r="D4" s="6"/>
      <c r="E4" s="6"/>
      <c r="F4" s="6"/>
      <c r="G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115</v>
      </c>
      <c r="B5" s="2" t="s">
        <v>116</v>
      </c>
      <c r="C5" s="10"/>
      <c r="D5" s="6"/>
      <c r="E5" s="6"/>
      <c r="F5" s="6"/>
      <c r="G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117</v>
      </c>
      <c r="B6" s="2" t="s">
        <v>118</v>
      </c>
      <c r="C6" s="10"/>
      <c r="D6" s="6"/>
      <c r="E6" s="6"/>
      <c r="F6" s="6"/>
      <c r="G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119</v>
      </c>
      <c r="B7" s="2" t="s">
        <v>120</v>
      </c>
      <c r="C7" s="10"/>
      <c r="D7" s="6"/>
      <c r="E7" s="6"/>
      <c r="F7" s="6"/>
      <c r="G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121</v>
      </c>
      <c r="B8" s="2" t="s">
        <v>122</v>
      </c>
      <c r="C8" s="10"/>
      <c r="D8" s="6"/>
      <c r="E8" s="6"/>
      <c r="F8" s="6"/>
      <c r="G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/>
      <c r="B9" s="6"/>
      <c r="C9" s="6"/>
      <c r="D9" s="6"/>
      <c r="E9" s="6"/>
      <c r="F9" s="6"/>
      <c r="G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123</v>
      </c>
      <c r="B10" s="11"/>
      <c r="C10" s="11"/>
      <c r="D10" s="11"/>
      <c r="E10" s="11"/>
      <c r="F10" s="11"/>
      <c r="G10" s="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108</v>
      </c>
      <c r="B11" s="8" t="s">
        <v>111</v>
      </c>
      <c r="C11" s="8" t="s">
        <v>113</v>
      </c>
      <c r="D11" s="8" t="s">
        <v>115</v>
      </c>
      <c r="E11" s="8" t="s">
        <v>117</v>
      </c>
      <c r="F11" s="8" t="s">
        <v>119</v>
      </c>
      <c r="G11" s="8" t="s">
        <v>121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111</v>
      </c>
      <c r="B12" s="12">
        <v>1.0</v>
      </c>
      <c r="C12" s="12">
        <v>2.0</v>
      </c>
      <c r="D12" s="12">
        <v>2.0</v>
      </c>
      <c r="E12" s="12">
        <v>2.0</v>
      </c>
      <c r="F12" s="12">
        <v>3.0</v>
      </c>
      <c r="G12" s="12">
        <v>2.0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113</v>
      </c>
      <c r="B13" s="12">
        <f>C13/C12</f>
        <v>0.5</v>
      </c>
      <c r="C13" s="12">
        <v>1.0</v>
      </c>
      <c r="D13" s="12">
        <v>2.0</v>
      </c>
      <c r="E13" s="12">
        <v>2.0</v>
      </c>
      <c r="F13" s="12">
        <v>3.0</v>
      </c>
      <c r="G13" s="12">
        <v>2.0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115</v>
      </c>
      <c r="B14" s="12">
        <f>D14/D12</f>
        <v>0.5</v>
      </c>
      <c r="C14" s="12">
        <f>D14/D13</f>
        <v>0.5</v>
      </c>
      <c r="D14" s="12">
        <v>1.0</v>
      </c>
      <c r="E14" s="12">
        <v>2.0</v>
      </c>
      <c r="F14" s="12">
        <v>3.0</v>
      </c>
      <c r="G14" s="12">
        <v>2.0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 t="s">
        <v>117</v>
      </c>
      <c r="B15" s="12">
        <f>E15/E12</f>
        <v>0.5</v>
      </c>
      <c r="C15" s="12">
        <f>E15/E13</f>
        <v>0.5</v>
      </c>
      <c r="D15" s="12">
        <f>E15/E14</f>
        <v>0.5</v>
      </c>
      <c r="E15" s="12">
        <v>1.0</v>
      </c>
      <c r="F15" s="12">
        <v>3.0</v>
      </c>
      <c r="G15" s="12">
        <v>2.0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 t="s">
        <v>119</v>
      </c>
      <c r="B16" s="12">
        <f>F16/F12</f>
        <v>0.3333333333</v>
      </c>
      <c r="C16" s="12">
        <f>F16/F13</f>
        <v>0.3333333333</v>
      </c>
      <c r="D16" s="12">
        <f>F16/F14</f>
        <v>0.3333333333</v>
      </c>
      <c r="E16" s="12">
        <f>F16/F15</f>
        <v>0.3333333333</v>
      </c>
      <c r="F16" s="12">
        <v>1.0</v>
      </c>
      <c r="G16" s="12">
        <f>F16/F17</f>
        <v>0.3333333333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 t="s">
        <v>121</v>
      </c>
      <c r="B17" s="12">
        <f>G17/G12</f>
        <v>0.5</v>
      </c>
      <c r="C17" s="12">
        <f>G17/G13</f>
        <v>0.5</v>
      </c>
      <c r="D17" s="12">
        <f>G17/G14</f>
        <v>0.5</v>
      </c>
      <c r="E17" s="12">
        <f>G17/G15</f>
        <v>0.5</v>
      </c>
      <c r="F17" s="12">
        <v>3.0</v>
      </c>
      <c r="G17" s="12">
        <v>1.0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 t="s">
        <v>124</v>
      </c>
      <c r="B18" s="13">
        <f t="shared" ref="B18:G18" si="1">SUM(B12:B17)</f>
        <v>3.333333333</v>
      </c>
      <c r="C18" s="13">
        <f t="shared" si="1"/>
        <v>4.833333333</v>
      </c>
      <c r="D18" s="13">
        <f t="shared" si="1"/>
        <v>6.333333333</v>
      </c>
      <c r="E18" s="13">
        <f t="shared" si="1"/>
        <v>7.833333333</v>
      </c>
      <c r="F18" s="13">
        <f t="shared" si="1"/>
        <v>16</v>
      </c>
      <c r="G18" s="13">
        <f t="shared" si="1"/>
        <v>9.333333333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 t="s">
        <v>125</v>
      </c>
      <c r="B20" s="11"/>
      <c r="C20" s="11"/>
      <c r="D20" s="11"/>
      <c r="E20" s="11"/>
      <c r="F20" s="11"/>
      <c r="G20" s="11"/>
      <c r="H20" s="11"/>
      <c r="I20" s="4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 t="s">
        <v>108</v>
      </c>
      <c r="B21" s="8" t="s">
        <v>111</v>
      </c>
      <c r="C21" s="8" t="s">
        <v>113</v>
      </c>
      <c r="D21" s="8" t="s">
        <v>115</v>
      </c>
      <c r="E21" s="8" t="s">
        <v>117</v>
      </c>
      <c r="F21" s="8" t="s">
        <v>119</v>
      </c>
      <c r="G21" s="8" t="s">
        <v>121</v>
      </c>
      <c r="H21" s="8" t="s">
        <v>124</v>
      </c>
      <c r="I21" s="8" t="s">
        <v>126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 t="s">
        <v>111</v>
      </c>
      <c r="B22" s="12">
        <f t="shared" ref="B22:B27" si="2">B12/$B$18</f>
        <v>0.3</v>
      </c>
      <c r="C22" s="12">
        <f t="shared" ref="C22:C27" si="3">C12/$C$18</f>
        <v>0.4137931034</v>
      </c>
      <c r="D22" s="12">
        <f t="shared" ref="D22:D27" si="4">D12/$D$18</f>
        <v>0.3157894737</v>
      </c>
      <c r="E22" s="12">
        <f t="shared" ref="E22:E27" si="5">E12/$E$18</f>
        <v>0.2553191489</v>
      </c>
      <c r="F22" s="12">
        <f t="shared" ref="F22:F27" si="6">F12/$F$18</f>
        <v>0.1875</v>
      </c>
      <c r="G22" s="12">
        <f t="shared" ref="G22:G27" si="7">G12/$G$18</f>
        <v>0.2142857143</v>
      </c>
      <c r="H22" s="14">
        <f t="shared" ref="H22:H27" si="8">SUM(B22:G22)</f>
        <v>1.68668744</v>
      </c>
      <c r="I22" s="15">
        <f t="shared" ref="I22:I27" si="9">H22/6</f>
        <v>0.2811145734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 t="s">
        <v>113</v>
      </c>
      <c r="B23" s="12">
        <f t="shared" si="2"/>
        <v>0.15</v>
      </c>
      <c r="C23" s="12">
        <f t="shared" si="3"/>
        <v>0.2068965517</v>
      </c>
      <c r="D23" s="12">
        <f t="shared" si="4"/>
        <v>0.3157894737</v>
      </c>
      <c r="E23" s="12">
        <f t="shared" si="5"/>
        <v>0.2553191489</v>
      </c>
      <c r="F23" s="12">
        <f t="shared" si="6"/>
        <v>0.1875</v>
      </c>
      <c r="G23" s="12">
        <f t="shared" si="7"/>
        <v>0.2142857143</v>
      </c>
      <c r="H23" s="14">
        <f t="shared" si="8"/>
        <v>1.329790889</v>
      </c>
      <c r="I23" s="15">
        <f t="shared" si="9"/>
        <v>0.2216318148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8" t="s">
        <v>115</v>
      </c>
      <c r="B24" s="12">
        <f t="shared" si="2"/>
        <v>0.15</v>
      </c>
      <c r="C24" s="12">
        <f t="shared" si="3"/>
        <v>0.1034482759</v>
      </c>
      <c r="D24" s="12">
        <f t="shared" si="4"/>
        <v>0.1578947368</v>
      </c>
      <c r="E24" s="12">
        <f t="shared" si="5"/>
        <v>0.2553191489</v>
      </c>
      <c r="F24" s="12">
        <f t="shared" si="6"/>
        <v>0.1875</v>
      </c>
      <c r="G24" s="12">
        <f t="shared" si="7"/>
        <v>0.2142857143</v>
      </c>
      <c r="H24" s="14">
        <f t="shared" si="8"/>
        <v>1.068447876</v>
      </c>
      <c r="I24" s="15">
        <f t="shared" si="9"/>
        <v>0.178074646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 t="s">
        <v>117</v>
      </c>
      <c r="B25" s="12">
        <f t="shared" si="2"/>
        <v>0.15</v>
      </c>
      <c r="C25" s="12">
        <f t="shared" si="3"/>
        <v>0.1034482759</v>
      </c>
      <c r="D25" s="12">
        <f t="shared" si="4"/>
        <v>0.07894736842</v>
      </c>
      <c r="E25" s="12">
        <f t="shared" si="5"/>
        <v>0.1276595745</v>
      </c>
      <c r="F25" s="12">
        <f t="shared" si="6"/>
        <v>0.1875</v>
      </c>
      <c r="G25" s="12">
        <f t="shared" si="7"/>
        <v>0.2142857143</v>
      </c>
      <c r="H25" s="14">
        <f t="shared" si="8"/>
        <v>0.861840933</v>
      </c>
      <c r="I25" s="15">
        <f t="shared" si="9"/>
        <v>0.1436401555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 t="s">
        <v>119</v>
      </c>
      <c r="B26" s="12">
        <f t="shared" si="2"/>
        <v>0.1</v>
      </c>
      <c r="C26" s="12">
        <f t="shared" si="3"/>
        <v>0.06896551724</v>
      </c>
      <c r="D26" s="12">
        <f t="shared" si="4"/>
        <v>0.05263157895</v>
      </c>
      <c r="E26" s="12">
        <f t="shared" si="5"/>
        <v>0.04255319149</v>
      </c>
      <c r="F26" s="12">
        <f t="shared" si="6"/>
        <v>0.0625</v>
      </c>
      <c r="G26" s="12">
        <f t="shared" si="7"/>
        <v>0.03571428571</v>
      </c>
      <c r="H26" s="14">
        <f t="shared" si="8"/>
        <v>0.3623645734</v>
      </c>
      <c r="I26" s="15">
        <f t="shared" si="9"/>
        <v>0.06039409557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8" t="s">
        <v>121</v>
      </c>
      <c r="B27" s="12">
        <f t="shared" si="2"/>
        <v>0.15</v>
      </c>
      <c r="C27" s="12">
        <f t="shared" si="3"/>
        <v>0.1034482759</v>
      </c>
      <c r="D27" s="12">
        <f t="shared" si="4"/>
        <v>0.07894736842</v>
      </c>
      <c r="E27" s="12">
        <f t="shared" si="5"/>
        <v>0.06382978723</v>
      </c>
      <c r="F27" s="12">
        <f t="shared" si="6"/>
        <v>0.1875</v>
      </c>
      <c r="G27" s="12">
        <f t="shared" si="7"/>
        <v>0.1071428571</v>
      </c>
      <c r="H27" s="14">
        <f t="shared" si="8"/>
        <v>0.6908682887</v>
      </c>
      <c r="I27" s="15">
        <f t="shared" si="9"/>
        <v>0.1151447148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9"/>
      <c r="B28" s="16"/>
      <c r="C28" s="16"/>
      <c r="D28" s="16"/>
      <c r="E28" s="16"/>
      <c r="F28" s="16"/>
      <c r="G28" s="1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" t="s">
        <v>127</v>
      </c>
      <c r="B29" s="11"/>
      <c r="C29" s="11"/>
      <c r="D29" s="11"/>
      <c r="E29" s="11"/>
      <c r="F29" s="11"/>
      <c r="G29" s="11"/>
      <c r="H29" s="4"/>
      <c r="I29" s="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" t="s">
        <v>108</v>
      </c>
      <c r="B30" s="8" t="s">
        <v>111</v>
      </c>
      <c r="C30" s="8" t="s">
        <v>113</v>
      </c>
      <c r="D30" s="8" t="s">
        <v>115</v>
      </c>
      <c r="E30" s="8" t="s">
        <v>117</v>
      </c>
      <c r="F30" s="8" t="s">
        <v>119</v>
      </c>
      <c r="G30" s="8" t="s">
        <v>121</v>
      </c>
      <c r="H30" s="8" t="s">
        <v>124</v>
      </c>
      <c r="I30" s="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8" t="s">
        <v>111</v>
      </c>
      <c r="B31" s="12">
        <f t="shared" ref="B31:B36" si="10">B12*$I$22</f>
        <v>0.2811145734</v>
      </c>
      <c r="C31" s="12">
        <f t="shared" ref="C31:C36" si="11">C12*$I$23</f>
        <v>0.4432636295</v>
      </c>
      <c r="D31" s="12">
        <f t="shared" ref="D31:D36" si="12">D12*$I$24</f>
        <v>0.356149292</v>
      </c>
      <c r="E31" s="12">
        <f t="shared" ref="E31:E36" si="13">E12*$I$25</f>
        <v>0.287280311</v>
      </c>
      <c r="F31" s="12">
        <f t="shared" ref="F31:F36" si="14">F12*$I$26</f>
        <v>0.1811822867</v>
      </c>
      <c r="G31" s="12">
        <f t="shared" ref="G31:G36" si="15">G12*$I$27</f>
        <v>0.2302894296</v>
      </c>
      <c r="H31" s="14">
        <f t="shared" ref="H31:H36" si="16">SUM(B31:G31)</f>
        <v>1.779279522</v>
      </c>
      <c r="I31" s="1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 t="s">
        <v>113</v>
      </c>
      <c r="B32" s="12">
        <f t="shared" si="10"/>
        <v>0.1405572867</v>
      </c>
      <c r="C32" s="12">
        <f t="shared" si="11"/>
        <v>0.2216318148</v>
      </c>
      <c r="D32" s="12">
        <f t="shared" si="12"/>
        <v>0.356149292</v>
      </c>
      <c r="E32" s="12">
        <f t="shared" si="13"/>
        <v>0.287280311</v>
      </c>
      <c r="F32" s="12">
        <f t="shared" si="14"/>
        <v>0.1811822867</v>
      </c>
      <c r="G32" s="12">
        <f t="shared" si="15"/>
        <v>0.2302894296</v>
      </c>
      <c r="H32" s="14">
        <f t="shared" si="16"/>
        <v>1.417090421</v>
      </c>
      <c r="I32" s="1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 t="s">
        <v>115</v>
      </c>
      <c r="B33" s="12">
        <f t="shared" si="10"/>
        <v>0.1405572867</v>
      </c>
      <c r="C33" s="12">
        <f t="shared" si="11"/>
        <v>0.1108159074</v>
      </c>
      <c r="D33" s="12">
        <f t="shared" si="12"/>
        <v>0.178074646</v>
      </c>
      <c r="E33" s="12">
        <f t="shared" si="13"/>
        <v>0.287280311</v>
      </c>
      <c r="F33" s="12">
        <f t="shared" si="14"/>
        <v>0.1811822867</v>
      </c>
      <c r="G33" s="12">
        <f t="shared" si="15"/>
        <v>0.2302894296</v>
      </c>
      <c r="H33" s="14">
        <f t="shared" si="16"/>
        <v>1.128199867</v>
      </c>
      <c r="I33" s="1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" t="s">
        <v>117</v>
      </c>
      <c r="B34" s="12">
        <f t="shared" si="10"/>
        <v>0.1405572867</v>
      </c>
      <c r="C34" s="12">
        <f t="shared" si="11"/>
        <v>0.1108159074</v>
      </c>
      <c r="D34" s="12">
        <f t="shared" si="12"/>
        <v>0.08903732299</v>
      </c>
      <c r="E34" s="12">
        <f t="shared" si="13"/>
        <v>0.1436401555</v>
      </c>
      <c r="F34" s="12">
        <f t="shared" si="14"/>
        <v>0.1811822867</v>
      </c>
      <c r="G34" s="12">
        <f t="shared" si="15"/>
        <v>0.2302894296</v>
      </c>
      <c r="H34" s="14">
        <f t="shared" si="16"/>
        <v>0.8955223888</v>
      </c>
      <c r="I34" s="1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 t="s">
        <v>119</v>
      </c>
      <c r="B35" s="12">
        <f t="shared" si="10"/>
        <v>0.0937048578</v>
      </c>
      <c r="C35" s="12">
        <f t="shared" si="11"/>
        <v>0.07387727159</v>
      </c>
      <c r="D35" s="12">
        <f t="shared" si="12"/>
        <v>0.05935821533</v>
      </c>
      <c r="E35" s="12">
        <f t="shared" si="13"/>
        <v>0.04788005184</v>
      </c>
      <c r="F35" s="12">
        <f t="shared" si="14"/>
        <v>0.06039409557</v>
      </c>
      <c r="G35" s="12">
        <f t="shared" si="15"/>
        <v>0.03838157159</v>
      </c>
      <c r="H35" s="14">
        <f t="shared" si="16"/>
        <v>0.3735960637</v>
      </c>
      <c r="I35" s="1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8" t="s">
        <v>121</v>
      </c>
      <c r="B36" s="12">
        <f t="shared" si="10"/>
        <v>0.1405572867</v>
      </c>
      <c r="C36" s="12">
        <f t="shared" si="11"/>
        <v>0.1108159074</v>
      </c>
      <c r="D36" s="12">
        <f t="shared" si="12"/>
        <v>0.08903732299</v>
      </c>
      <c r="E36" s="12">
        <f t="shared" si="13"/>
        <v>0.07182007775</v>
      </c>
      <c r="F36" s="12">
        <f t="shared" si="14"/>
        <v>0.1811822867</v>
      </c>
      <c r="G36" s="12">
        <f t="shared" si="15"/>
        <v>0.1151447148</v>
      </c>
      <c r="H36" s="14">
        <f t="shared" si="16"/>
        <v>0.7085575963</v>
      </c>
      <c r="I36" s="1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3" t="s">
        <v>128</v>
      </c>
      <c r="B38" s="11"/>
      <c r="C38" s="11"/>
      <c r="D38" s="4"/>
      <c r="E38" s="9"/>
      <c r="F38" s="9"/>
      <c r="G38" s="9"/>
      <c r="H38" s="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" t="s">
        <v>108</v>
      </c>
      <c r="B39" s="8" t="s">
        <v>124</v>
      </c>
      <c r="C39" s="8" t="s">
        <v>126</v>
      </c>
      <c r="D39" s="8" t="s">
        <v>129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 t="s">
        <v>111</v>
      </c>
      <c r="B40" s="14">
        <f t="shared" ref="B40:B45" si="17">H31</f>
        <v>1.779279522</v>
      </c>
      <c r="C40" s="15">
        <f t="shared" ref="C40:C45" si="18">I22</f>
        <v>0.2811145734</v>
      </c>
      <c r="D40" s="15">
        <f t="shared" ref="D40:D45" si="19">round(B40/C40,10)</f>
        <v>6.329374891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 t="s">
        <v>113</v>
      </c>
      <c r="B41" s="14">
        <f t="shared" si="17"/>
        <v>1.417090421</v>
      </c>
      <c r="C41" s="15">
        <f t="shared" si="18"/>
        <v>0.2216318148</v>
      </c>
      <c r="D41" s="15">
        <f t="shared" si="19"/>
        <v>6.393894406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 t="s">
        <v>115</v>
      </c>
      <c r="B42" s="14">
        <f t="shared" si="17"/>
        <v>1.128199867</v>
      </c>
      <c r="C42" s="15">
        <f t="shared" si="18"/>
        <v>0.178074646</v>
      </c>
      <c r="D42" s="15">
        <f t="shared" si="19"/>
        <v>6.335544631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 t="s">
        <v>117</v>
      </c>
      <c r="B43" s="14">
        <f t="shared" si="17"/>
        <v>0.8955223888</v>
      </c>
      <c r="C43" s="15">
        <f t="shared" si="18"/>
        <v>0.1436401555</v>
      </c>
      <c r="D43" s="15">
        <f t="shared" si="19"/>
        <v>6.234484958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8" t="s">
        <v>119</v>
      </c>
      <c r="B44" s="14">
        <f t="shared" si="17"/>
        <v>0.3735960637</v>
      </c>
      <c r="C44" s="15">
        <f t="shared" si="18"/>
        <v>0.06039409557</v>
      </c>
      <c r="D44" s="15">
        <f t="shared" si="19"/>
        <v>6.185970006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 t="s">
        <v>121</v>
      </c>
      <c r="B45" s="14">
        <f t="shared" si="17"/>
        <v>0.7085575963</v>
      </c>
      <c r="C45" s="15">
        <f t="shared" si="18"/>
        <v>0.1151447148</v>
      </c>
      <c r="D45" s="15">
        <f t="shared" si="19"/>
        <v>6.153626744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3" t="s">
        <v>124</v>
      </c>
      <c r="B46" s="11"/>
      <c r="C46" s="4"/>
      <c r="D46" s="15">
        <f>SUM(D40:D45)</f>
        <v>37.63289564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8" t="s">
        <v>130</v>
      </c>
      <c r="B48" s="15">
        <f>round(D46/6, 10)</f>
        <v>6.272149273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8" t="s">
        <v>131</v>
      </c>
      <c r="B49" s="15">
        <f>round((B48 - 6) / (6 - 1), 10)</f>
        <v>0.0544298545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 t="s">
        <v>132</v>
      </c>
      <c r="B50" s="15">
        <f>round(B49/B58,10)</f>
        <v>0.043895044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7" t="s">
        <v>133</v>
      </c>
      <c r="B52" s="17" t="s">
        <v>134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8">
        <v>1.0</v>
      </c>
      <c r="B53" s="18">
        <v>0.0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9">
        <v>2.0</v>
      </c>
      <c r="B54" s="19">
        <v>0.0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8">
        <v>3.0</v>
      </c>
      <c r="B55" s="18">
        <v>0.58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8">
        <v>4.0</v>
      </c>
      <c r="B56" s="18">
        <v>0.9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8">
        <v>5.0</v>
      </c>
      <c r="B57" s="18">
        <v>1.12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8">
        <v>6.0</v>
      </c>
      <c r="B58" s="18">
        <v>1.24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8">
        <v>7.0</v>
      </c>
      <c r="B59" s="18">
        <v>1.32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8">
        <v>8.0</v>
      </c>
      <c r="B60" s="18">
        <v>1.41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8">
        <v>9.0</v>
      </c>
      <c r="B61" s="18">
        <v>1.45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8">
        <v>10.0</v>
      </c>
      <c r="B62" s="18">
        <v>1.49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8">
        <v>11.0</v>
      </c>
      <c r="B63" s="18">
        <v>1.51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8">
        <v>12.0</v>
      </c>
      <c r="B64" s="18">
        <v>1.48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8">
        <v>13.0</v>
      </c>
      <c r="B65" s="18">
        <v>1.56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8">
        <v>14.0</v>
      </c>
      <c r="B66" s="18">
        <v>1.57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8">
        <v>15.0</v>
      </c>
      <c r="B67" s="18">
        <v>1.59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A1:B1"/>
    <mergeCell ref="A10:G10"/>
    <mergeCell ref="A20:I20"/>
    <mergeCell ref="A29:H29"/>
    <mergeCell ref="A38:D38"/>
    <mergeCell ref="A46:C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2.88"/>
    <col customWidth="1" min="3" max="3" width="16.25"/>
    <col customWidth="1" min="4" max="4" width="16.5"/>
    <col customWidth="1" min="5" max="5" width="13.63"/>
    <col customWidth="1" min="7" max="7" width="13.5"/>
    <col customWidth="1" min="8" max="8" width="14.5"/>
  </cols>
  <sheetData>
    <row r="1">
      <c r="A1" s="3" t="s">
        <v>108</v>
      </c>
      <c r="B1" s="11"/>
      <c r="C1" s="11"/>
      <c r="D1" s="4"/>
    </row>
    <row r="2">
      <c r="A2" s="8" t="s">
        <v>109</v>
      </c>
      <c r="B2" s="8" t="s">
        <v>110</v>
      </c>
      <c r="C2" s="8" t="s">
        <v>135</v>
      </c>
      <c r="D2" s="8" t="s">
        <v>136</v>
      </c>
    </row>
    <row r="3">
      <c r="A3" s="8" t="s">
        <v>111</v>
      </c>
      <c r="B3" s="2" t="s">
        <v>112</v>
      </c>
      <c r="C3" s="2" t="s">
        <v>137</v>
      </c>
      <c r="D3" s="15">
        <f>AHP!I22</f>
        <v>0.2811145734</v>
      </c>
    </row>
    <row r="4">
      <c r="A4" s="8" t="s">
        <v>113</v>
      </c>
      <c r="B4" s="2" t="s">
        <v>114</v>
      </c>
      <c r="C4" s="2" t="s">
        <v>138</v>
      </c>
      <c r="D4" s="15">
        <f>AHP!I23</f>
        <v>0.2216318148</v>
      </c>
    </row>
    <row r="5">
      <c r="A5" s="8" t="s">
        <v>115</v>
      </c>
      <c r="B5" s="2" t="s">
        <v>116</v>
      </c>
      <c r="C5" s="2" t="s">
        <v>138</v>
      </c>
      <c r="D5" s="15">
        <f>AHP!I24</f>
        <v>0.178074646</v>
      </c>
    </row>
    <row r="6">
      <c r="A6" s="8" t="s">
        <v>117</v>
      </c>
      <c r="B6" s="2" t="s">
        <v>118</v>
      </c>
      <c r="C6" s="2" t="s">
        <v>138</v>
      </c>
      <c r="D6" s="15">
        <f>AHP!I25</f>
        <v>0.1436401555</v>
      </c>
    </row>
    <row r="7">
      <c r="A7" s="8" t="s">
        <v>119</v>
      </c>
      <c r="B7" s="2" t="s">
        <v>120</v>
      </c>
      <c r="C7" s="2" t="s">
        <v>138</v>
      </c>
      <c r="D7" s="15">
        <f>AHP!I26</f>
        <v>0.06039409557</v>
      </c>
    </row>
    <row r="8">
      <c r="A8" s="8" t="s">
        <v>121</v>
      </c>
      <c r="B8" s="2" t="s">
        <v>122</v>
      </c>
      <c r="C8" s="2" t="s">
        <v>138</v>
      </c>
      <c r="D8" s="15">
        <f>AHP!I27</f>
        <v>0.1151447148</v>
      </c>
    </row>
    <row r="10">
      <c r="A10" s="3" t="s">
        <v>139</v>
      </c>
      <c r="B10" s="11"/>
      <c r="C10" s="11"/>
      <c r="D10" s="11"/>
      <c r="E10" s="11"/>
      <c r="F10" s="11"/>
      <c r="G10" s="11"/>
      <c r="H10" s="4"/>
    </row>
    <row r="11">
      <c r="A11" s="1" t="s">
        <v>109</v>
      </c>
      <c r="B11" s="1" t="s">
        <v>110</v>
      </c>
      <c r="C11" s="1" t="s">
        <v>111</v>
      </c>
      <c r="D11" s="1" t="s">
        <v>113</v>
      </c>
      <c r="E11" s="1" t="s">
        <v>115</v>
      </c>
      <c r="F11" s="1" t="s">
        <v>117</v>
      </c>
      <c r="G11" s="1" t="s">
        <v>119</v>
      </c>
      <c r="H11" s="1" t="s">
        <v>121</v>
      </c>
    </row>
    <row r="12">
      <c r="A12" s="2" t="str">
        <f>Alternatif!A2</f>
        <v>A01</v>
      </c>
      <c r="B12" s="2" t="str">
        <f>Alternatif!B2</f>
        <v>Samsung Galaxy Z Flip 5</v>
      </c>
      <c r="C12" s="2">
        <f>Alternatif!C2</f>
        <v>16000000</v>
      </c>
      <c r="D12" s="2">
        <f>Alternatif!D2</f>
        <v>8</v>
      </c>
      <c r="E12" s="2">
        <f>Alternatif!E2</f>
        <v>12</v>
      </c>
      <c r="F12" s="2">
        <f>Alternatif!F2</f>
        <v>3700</v>
      </c>
      <c r="G12" s="2">
        <f>Alternatif!G2</f>
        <v>6.7</v>
      </c>
      <c r="H12" s="2">
        <f>Alternatif!H2</f>
        <v>512</v>
      </c>
    </row>
    <row r="13">
      <c r="A13" s="2" t="str">
        <f>Alternatif!A3</f>
        <v>A02</v>
      </c>
      <c r="B13" s="2" t="str">
        <f>Alternatif!B3</f>
        <v>Xiaomi 14 Ultra</v>
      </c>
      <c r="C13" s="2">
        <f>Alternatif!C3</f>
        <v>10000000</v>
      </c>
      <c r="D13" s="2">
        <f>Alternatif!D3</f>
        <v>12</v>
      </c>
      <c r="E13" s="2">
        <f>Alternatif!E3</f>
        <v>50</v>
      </c>
      <c r="F13" s="2">
        <f>Alternatif!F3</f>
        <v>5000</v>
      </c>
      <c r="G13" s="2">
        <f>Alternatif!G3</f>
        <v>6.73</v>
      </c>
      <c r="H13" s="2">
        <f>Alternatif!H3</f>
        <v>512</v>
      </c>
    </row>
    <row r="14">
      <c r="A14" s="2" t="str">
        <f>Alternatif!A4</f>
        <v>A03</v>
      </c>
      <c r="B14" s="2" t="str">
        <f>Alternatif!B4</f>
        <v>Poco F6</v>
      </c>
      <c r="C14" s="2">
        <f>Alternatif!C4</f>
        <v>5000000</v>
      </c>
      <c r="D14" s="2">
        <f>Alternatif!D4</f>
        <v>8</v>
      </c>
      <c r="E14" s="2">
        <f>Alternatif!E4</f>
        <v>64</v>
      </c>
      <c r="F14" s="2">
        <f>Alternatif!F4</f>
        <v>5100</v>
      </c>
      <c r="G14" s="2">
        <f>Alternatif!G4</f>
        <v>6.67</v>
      </c>
      <c r="H14" s="2">
        <f>Alternatif!H4</f>
        <v>256</v>
      </c>
    </row>
    <row r="15">
      <c r="A15" s="2" t="str">
        <f>Alternatif!A5</f>
        <v>A04</v>
      </c>
      <c r="B15" s="2" t="str">
        <f>Alternatif!B5</f>
        <v>Samsung Galaxy S24 Ultra</v>
      </c>
      <c r="C15" s="2">
        <f>Alternatif!C5</f>
        <v>21999000</v>
      </c>
      <c r="D15" s="2">
        <f>Alternatif!D5</f>
        <v>12</v>
      </c>
      <c r="E15" s="2">
        <f>Alternatif!E5</f>
        <v>200</v>
      </c>
      <c r="F15" s="2">
        <f>Alternatif!F5</f>
        <v>5000</v>
      </c>
      <c r="G15" s="2">
        <f>Alternatif!G5</f>
        <v>6.8</v>
      </c>
      <c r="H15" s="2">
        <f>Alternatif!H5</f>
        <v>512</v>
      </c>
    </row>
    <row r="16">
      <c r="A16" s="2" t="str">
        <f>Alternatif!A6</f>
        <v>A05</v>
      </c>
      <c r="B16" s="2" t="str">
        <f>Alternatif!B6</f>
        <v>Samsung Galaxy S24</v>
      </c>
      <c r="C16" s="2">
        <f>Alternatif!C6</f>
        <v>14999000</v>
      </c>
      <c r="D16" s="2">
        <f>Alternatif!D6</f>
        <v>8</v>
      </c>
      <c r="E16" s="2">
        <f>Alternatif!E6</f>
        <v>50</v>
      </c>
      <c r="F16" s="2">
        <f>Alternatif!F6</f>
        <v>4000</v>
      </c>
      <c r="G16" s="2">
        <f>Alternatif!G6</f>
        <v>6.2</v>
      </c>
      <c r="H16" s="2">
        <f>Alternatif!H6</f>
        <v>256</v>
      </c>
    </row>
    <row r="17">
      <c r="A17" s="2" t="str">
        <f>Alternatif!A7</f>
        <v>A06</v>
      </c>
      <c r="B17" s="2" t="str">
        <f>Alternatif!B7</f>
        <v>Samsung Galaxy Z Fold 5</v>
      </c>
      <c r="C17" s="2">
        <f>Alternatif!C7</f>
        <v>18000000</v>
      </c>
      <c r="D17" s="2">
        <f>Alternatif!D7</f>
        <v>12</v>
      </c>
      <c r="E17" s="2">
        <f>Alternatif!E7</f>
        <v>50</v>
      </c>
      <c r="F17" s="2">
        <f>Alternatif!F7</f>
        <v>4450</v>
      </c>
      <c r="G17" s="2">
        <f>Alternatif!G7</f>
        <v>7.6</v>
      </c>
      <c r="H17" s="2">
        <f>Alternatif!H7</f>
        <v>512</v>
      </c>
    </row>
    <row r="18">
      <c r="A18" s="2" t="str">
        <f>Alternatif!A8</f>
        <v>A07</v>
      </c>
      <c r="B18" s="2" t="str">
        <f>Alternatif!B8</f>
        <v>Samsung Galaxy A54 5G</v>
      </c>
      <c r="C18" s="2">
        <f>Alternatif!C8</f>
        <v>5999000</v>
      </c>
      <c r="D18" s="2">
        <f>Alternatif!D8</f>
        <v>8</v>
      </c>
      <c r="E18" s="2">
        <f>Alternatif!E8</f>
        <v>50</v>
      </c>
      <c r="F18" s="2">
        <f>Alternatif!F8</f>
        <v>5050</v>
      </c>
      <c r="G18" s="2">
        <f>Alternatif!G8</f>
        <v>6.4</v>
      </c>
      <c r="H18" s="2">
        <f>Alternatif!H8</f>
        <v>256</v>
      </c>
    </row>
    <row r="19">
      <c r="A19" s="2" t="str">
        <f>Alternatif!A9</f>
        <v>A08</v>
      </c>
      <c r="B19" s="2" t="str">
        <f>Alternatif!B9</f>
        <v>Samsung Galaxy A34 5G</v>
      </c>
      <c r="C19" s="2">
        <f>Alternatif!C9</f>
        <v>4999000</v>
      </c>
      <c r="D19" s="2">
        <f>Alternatif!D9</f>
        <v>8</v>
      </c>
      <c r="E19" s="2">
        <f>Alternatif!E9</f>
        <v>48</v>
      </c>
      <c r="F19" s="2">
        <f>Alternatif!F9</f>
        <v>5000</v>
      </c>
      <c r="G19" s="2">
        <f>Alternatif!G9</f>
        <v>6.65</v>
      </c>
      <c r="H19" s="2">
        <f>Alternatif!H9</f>
        <v>256</v>
      </c>
    </row>
    <row r="20">
      <c r="A20" s="2" t="str">
        <f>Alternatif!A10</f>
        <v>A09</v>
      </c>
      <c r="B20" s="2" t="str">
        <f>Alternatif!B10</f>
        <v>Samsung Galaxy A24</v>
      </c>
      <c r="C20" s="2">
        <f>Alternatif!C10</f>
        <v>2899000</v>
      </c>
      <c r="D20" s="2">
        <f>Alternatif!D10</f>
        <v>8</v>
      </c>
      <c r="E20" s="2">
        <f>Alternatif!E10</f>
        <v>50</v>
      </c>
      <c r="F20" s="2">
        <f>Alternatif!F10</f>
        <v>5000</v>
      </c>
      <c r="G20" s="2">
        <f>Alternatif!G10</f>
        <v>6.5</v>
      </c>
      <c r="H20" s="2">
        <f>Alternatif!H10</f>
        <v>128</v>
      </c>
    </row>
    <row r="21">
      <c r="A21" s="2" t="str">
        <f>Alternatif!A11</f>
        <v>A10</v>
      </c>
      <c r="B21" s="2" t="str">
        <f>Alternatif!B11</f>
        <v>Samsung Galaxy A15 5G</v>
      </c>
      <c r="C21" s="2">
        <f>Alternatif!C11</f>
        <v>3599000</v>
      </c>
      <c r="D21" s="2">
        <f>Alternatif!D11</f>
        <v>8</v>
      </c>
      <c r="E21" s="2">
        <f>Alternatif!E11</f>
        <v>50</v>
      </c>
      <c r="F21" s="2">
        <f>Alternatif!F11</f>
        <v>5000</v>
      </c>
      <c r="G21" s="2">
        <f>Alternatif!G11</f>
        <v>6.5</v>
      </c>
      <c r="H21" s="2">
        <f>Alternatif!H11</f>
        <v>256</v>
      </c>
    </row>
    <row r="22">
      <c r="A22" s="2" t="str">
        <f>Alternatif!A12</f>
        <v>A11</v>
      </c>
      <c r="B22" s="2" t="str">
        <f>Alternatif!B12</f>
        <v>Xiaomi 14T Pro</v>
      </c>
      <c r="C22" s="2">
        <f>Alternatif!C12</f>
        <v>8499000</v>
      </c>
      <c r="D22" s="2">
        <f>Alternatif!D12</f>
        <v>12</v>
      </c>
      <c r="E22" s="2">
        <f>Alternatif!E12</f>
        <v>50</v>
      </c>
      <c r="F22" s="2">
        <f>Alternatif!F12</f>
        <v>5050</v>
      </c>
      <c r="G22" s="2">
        <f>Alternatif!G12</f>
        <v>6.68</v>
      </c>
      <c r="H22" s="2">
        <f>Alternatif!H12</f>
        <v>256</v>
      </c>
    </row>
    <row r="23">
      <c r="A23" s="2" t="str">
        <f>Alternatif!A13</f>
        <v>A12</v>
      </c>
      <c r="B23" s="2" t="str">
        <f>Alternatif!B13</f>
        <v>Xiaomi 14T</v>
      </c>
      <c r="C23" s="2">
        <f>Alternatif!C13</f>
        <v>6499000</v>
      </c>
      <c r="D23" s="2">
        <f>Alternatif!D13</f>
        <v>8</v>
      </c>
      <c r="E23" s="2">
        <f>Alternatif!E13</f>
        <v>50</v>
      </c>
      <c r="F23" s="2">
        <f>Alternatif!F13</f>
        <v>5000</v>
      </c>
      <c r="G23" s="2">
        <f>Alternatif!G13</f>
        <v>6.67</v>
      </c>
      <c r="H23" s="2">
        <f>Alternatif!H13</f>
        <v>256</v>
      </c>
    </row>
    <row r="24">
      <c r="A24" s="2" t="str">
        <f>Alternatif!A14</f>
        <v>A13</v>
      </c>
      <c r="B24" s="2" t="str">
        <f>Alternatif!B14</f>
        <v>Redmi Note 13 Pro 5G</v>
      </c>
      <c r="C24" s="2">
        <f>Alternatif!C14</f>
        <v>4300000</v>
      </c>
      <c r="D24" s="2">
        <f>Alternatif!D14</f>
        <v>8</v>
      </c>
      <c r="E24" s="2">
        <f>Alternatif!E14</f>
        <v>200</v>
      </c>
      <c r="F24" s="2">
        <f>Alternatif!F14</f>
        <v>5100</v>
      </c>
      <c r="G24" s="2">
        <f>Alternatif!G14</f>
        <v>6.67</v>
      </c>
      <c r="H24" s="2">
        <f>Alternatif!H14</f>
        <v>256</v>
      </c>
    </row>
    <row r="25">
      <c r="A25" s="2" t="str">
        <f>Alternatif!A15</f>
        <v>A14</v>
      </c>
      <c r="B25" s="2" t="str">
        <f>Alternatif!B15</f>
        <v>Redmi Note 13 5G</v>
      </c>
      <c r="C25" s="2">
        <f>Alternatif!C15</f>
        <v>3299000</v>
      </c>
      <c r="D25" s="2">
        <f>Alternatif!D15</f>
        <v>6</v>
      </c>
      <c r="E25" s="2">
        <f>Alternatif!E15</f>
        <v>108</v>
      </c>
      <c r="F25" s="2">
        <f>Alternatif!F15</f>
        <v>5000</v>
      </c>
      <c r="G25" s="2">
        <f>Alternatif!G15</f>
        <v>6.67</v>
      </c>
      <c r="H25" s="2">
        <f>Alternatif!H15</f>
        <v>128</v>
      </c>
    </row>
    <row r="26">
      <c r="A26" s="2" t="str">
        <f>Alternatif!A16</f>
        <v>A15</v>
      </c>
      <c r="B26" s="2" t="str">
        <f>Alternatif!B16</f>
        <v>Redmi 14C</v>
      </c>
      <c r="C26" s="2">
        <f>Alternatif!C16</f>
        <v>1599000</v>
      </c>
      <c r="D26" s="2">
        <f>Alternatif!D16</f>
        <v>8</v>
      </c>
      <c r="E26" s="2">
        <f>Alternatif!E16</f>
        <v>50</v>
      </c>
      <c r="F26" s="2">
        <f>Alternatif!F16</f>
        <v>5180</v>
      </c>
      <c r="G26" s="2">
        <f>Alternatif!G16</f>
        <v>6.88</v>
      </c>
      <c r="H26" s="2">
        <f>Alternatif!H16</f>
        <v>128</v>
      </c>
    </row>
    <row r="27">
      <c r="A27" s="2" t="str">
        <f>Alternatif!A17</f>
        <v>A16</v>
      </c>
      <c r="B27" s="2" t="str">
        <f>Alternatif!B17</f>
        <v>Poco X6 Pro 5G</v>
      </c>
      <c r="C27" s="2">
        <f>Alternatif!C17</f>
        <v>4349000</v>
      </c>
      <c r="D27" s="2">
        <f>Alternatif!D17</f>
        <v>8</v>
      </c>
      <c r="E27" s="2">
        <f>Alternatif!E17</f>
        <v>64</v>
      </c>
      <c r="F27" s="2">
        <f>Alternatif!F17</f>
        <v>5020</v>
      </c>
      <c r="G27" s="2">
        <f>Alternatif!G17</f>
        <v>6.67</v>
      </c>
      <c r="H27" s="2">
        <f>Alternatif!H17</f>
        <v>256</v>
      </c>
    </row>
    <row r="28">
      <c r="A28" s="2" t="str">
        <f>Alternatif!A18</f>
        <v>A17</v>
      </c>
      <c r="B28" s="2" t="str">
        <f>Alternatif!B18</f>
        <v>Poco X6 5G</v>
      </c>
      <c r="C28" s="2">
        <f>Alternatif!C18</f>
        <v>3999000</v>
      </c>
      <c r="D28" s="2">
        <f>Alternatif!D18</f>
        <v>8</v>
      </c>
      <c r="E28" s="2">
        <f>Alternatif!E18</f>
        <v>64</v>
      </c>
      <c r="F28" s="2">
        <f>Alternatif!F18</f>
        <v>5100</v>
      </c>
      <c r="G28" s="2">
        <f>Alternatif!G18</f>
        <v>6.67</v>
      </c>
      <c r="H28" s="2">
        <f>Alternatif!H18</f>
        <v>256</v>
      </c>
    </row>
    <row r="29">
      <c r="A29" s="2" t="str">
        <f>Alternatif!A19</f>
        <v>A18</v>
      </c>
      <c r="B29" s="2" t="str">
        <f>Alternatif!B19</f>
        <v>Poco C75</v>
      </c>
      <c r="C29" s="2">
        <f>Alternatif!C19</f>
        <v>1399000</v>
      </c>
      <c r="D29" s="2">
        <f>Alternatif!D19</f>
        <v>6</v>
      </c>
      <c r="E29" s="2">
        <f>Alternatif!E19</f>
        <v>50</v>
      </c>
      <c r="F29" s="2">
        <f>Alternatif!F19</f>
        <v>5160</v>
      </c>
      <c r="G29" s="2">
        <f>Alternatif!G19</f>
        <v>6.88</v>
      </c>
      <c r="H29" s="2">
        <f>Alternatif!H19</f>
        <v>256</v>
      </c>
    </row>
    <row r="30">
      <c r="A30" s="2" t="str">
        <f>Alternatif!A20</f>
        <v>A19</v>
      </c>
      <c r="B30" s="2" t="str">
        <f>Alternatif!B20</f>
        <v>Samsung Galaxy S25 Ultra</v>
      </c>
      <c r="C30" s="2">
        <f>Alternatif!C20</f>
        <v>22999000</v>
      </c>
      <c r="D30" s="2">
        <f>Alternatif!D20</f>
        <v>12</v>
      </c>
      <c r="E30" s="2">
        <f>Alternatif!E20</f>
        <v>200</v>
      </c>
      <c r="F30" s="2">
        <f>Alternatif!F20</f>
        <v>5050</v>
      </c>
      <c r="G30" s="2">
        <f>Alternatif!G20</f>
        <v>6.9</v>
      </c>
      <c r="H30" s="2">
        <f>Alternatif!H20</f>
        <v>256</v>
      </c>
    </row>
    <row r="31">
      <c r="A31" s="2" t="str">
        <f>Alternatif!A21</f>
        <v>A20</v>
      </c>
      <c r="B31" s="2" t="str">
        <f>Alternatif!B21</f>
        <v>Xiaomi 14 Pro</v>
      </c>
      <c r="C31" s="2">
        <f>Alternatif!C21</f>
        <v>19999000</v>
      </c>
      <c r="D31" s="2">
        <f>Alternatif!D21</f>
        <v>12</v>
      </c>
      <c r="E31" s="2">
        <f>Alternatif!E21</f>
        <v>50</v>
      </c>
      <c r="F31" s="2">
        <f>Alternatif!F21</f>
        <v>5000</v>
      </c>
      <c r="G31" s="2">
        <f>Alternatif!G21</f>
        <v>6.73</v>
      </c>
      <c r="H31" s="2">
        <f>Alternatif!H21</f>
        <v>256</v>
      </c>
    </row>
    <row r="32">
      <c r="A32" s="2" t="str">
        <f>Alternatif!A22</f>
        <v>A21</v>
      </c>
      <c r="B32" s="2" t="str">
        <f>Alternatif!B22</f>
        <v>Oppo Find X7</v>
      </c>
      <c r="C32" s="2">
        <f>Alternatif!C22</f>
        <v>14999000</v>
      </c>
      <c r="D32" s="2">
        <f>Alternatif!D22</f>
        <v>12</v>
      </c>
      <c r="E32" s="2">
        <f>Alternatif!E22</f>
        <v>50</v>
      </c>
      <c r="F32" s="2">
        <f>Alternatif!F22</f>
        <v>5000</v>
      </c>
      <c r="G32" s="2">
        <f>Alternatif!G22</f>
        <v>6.8</v>
      </c>
      <c r="H32" s="2">
        <f>Alternatif!H22</f>
        <v>256</v>
      </c>
    </row>
    <row r="33">
      <c r="A33" s="2" t="str">
        <f>Alternatif!A23</f>
        <v>A22</v>
      </c>
      <c r="B33" s="2" t="str">
        <f>Alternatif!B23</f>
        <v>Samsung Galaxy S23 Ultra</v>
      </c>
      <c r="C33" s="2">
        <f>Alternatif!C23</f>
        <v>19499000</v>
      </c>
      <c r="D33" s="2">
        <f>Alternatif!D23</f>
        <v>12</v>
      </c>
      <c r="E33" s="2">
        <f>Alternatif!E23</f>
        <v>200</v>
      </c>
      <c r="F33" s="2">
        <f>Alternatif!F23</f>
        <v>5000</v>
      </c>
      <c r="G33" s="2">
        <f>Alternatif!G23</f>
        <v>6.67</v>
      </c>
      <c r="H33" s="2">
        <f>Alternatif!H23</f>
        <v>256</v>
      </c>
    </row>
    <row r="34">
      <c r="A34" s="2" t="str">
        <f>Alternatif!A24</f>
        <v>A23</v>
      </c>
      <c r="B34" s="2" t="str">
        <f>Alternatif!B24</f>
        <v>Xiaomi 13T Pro</v>
      </c>
      <c r="C34" s="2">
        <f>Alternatif!C24</f>
        <v>13499000</v>
      </c>
      <c r="D34" s="2">
        <f>Alternatif!D24</f>
        <v>12</v>
      </c>
      <c r="E34" s="2">
        <f>Alternatif!E24</f>
        <v>50</v>
      </c>
      <c r="F34" s="2">
        <f>Alternatif!F24</f>
        <v>5000</v>
      </c>
      <c r="G34" s="2">
        <f>Alternatif!G24</f>
        <v>6.1</v>
      </c>
      <c r="H34" s="2">
        <f>Alternatif!H24</f>
        <v>256</v>
      </c>
    </row>
    <row r="35">
      <c r="A35" s="2" t="str">
        <f>Alternatif!A25</f>
        <v>A24</v>
      </c>
      <c r="B35" s="2" t="str">
        <f>Alternatif!B25</f>
        <v>Oppo Find X8</v>
      </c>
      <c r="C35" s="2">
        <f>Alternatif!C25</f>
        <v>13999000</v>
      </c>
      <c r="D35" s="2">
        <f>Alternatif!D25</f>
        <v>12</v>
      </c>
      <c r="E35" s="2">
        <f>Alternatif!E25</f>
        <v>50</v>
      </c>
      <c r="F35" s="2">
        <f>Alternatif!F25</f>
        <v>5630</v>
      </c>
      <c r="G35" s="2">
        <f>Alternatif!G25</f>
        <v>6.59</v>
      </c>
      <c r="H35" s="2">
        <f>Alternatif!H25</f>
        <v>256</v>
      </c>
    </row>
    <row r="36">
      <c r="A36" s="2" t="str">
        <f>Alternatif!A26</f>
        <v>A25</v>
      </c>
      <c r="B36" s="2" t="str">
        <f>Alternatif!B26</f>
        <v>Oppo Find X8 Pro</v>
      </c>
      <c r="C36" s="2">
        <f>Alternatif!C26</f>
        <v>17999000</v>
      </c>
      <c r="D36" s="2">
        <f>Alternatif!D26</f>
        <v>16</v>
      </c>
      <c r="E36" s="2">
        <f>Alternatif!E26</f>
        <v>50</v>
      </c>
      <c r="F36" s="2">
        <f>Alternatif!F26</f>
        <v>5910</v>
      </c>
      <c r="G36" s="2">
        <f>Alternatif!G26</f>
        <v>6.78</v>
      </c>
      <c r="H36" s="2">
        <f>Alternatif!H26</f>
        <v>512</v>
      </c>
    </row>
    <row r="37">
      <c r="A37" s="2" t="str">
        <f>Alternatif!A27</f>
        <v>A26</v>
      </c>
      <c r="B37" s="2" t="str">
        <f>Alternatif!B27</f>
        <v>Oppo Reno 12</v>
      </c>
      <c r="C37" s="2">
        <f>Alternatif!C27</f>
        <v>5499000</v>
      </c>
      <c r="D37" s="2">
        <f>Alternatif!D27</f>
        <v>8</v>
      </c>
      <c r="E37" s="2">
        <f>Alternatif!E27</f>
        <v>50</v>
      </c>
      <c r="F37" s="2">
        <f>Alternatif!F27</f>
        <v>5000</v>
      </c>
      <c r="G37" s="2">
        <f>Alternatif!G27</f>
        <v>6.7</v>
      </c>
      <c r="H37" s="2">
        <f>Alternatif!H27</f>
        <v>256</v>
      </c>
    </row>
    <row r="38">
      <c r="A38" s="2" t="str">
        <f>Alternatif!A28</f>
        <v>A27</v>
      </c>
      <c r="B38" s="2" t="str">
        <f>Alternatif!B28</f>
        <v>Oppo A78 5G</v>
      </c>
      <c r="C38" s="2">
        <f>Alternatif!C28</f>
        <v>2999000</v>
      </c>
      <c r="D38" s="2">
        <f>Alternatif!D28</f>
        <v>8</v>
      </c>
      <c r="E38" s="2">
        <f>Alternatif!E28</f>
        <v>50</v>
      </c>
      <c r="F38" s="2">
        <f>Alternatif!F28</f>
        <v>5000</v>
      </c>
      <c r="G38" s="2">
        <f>Alternatif!G28</f>
        <v>6.56</v>
      </c>
      <c r="H38" s="2">
        <f>Alternatif!H28</f>
        <v>128</v>
      </c>
    </row>
    <row r="39">
      <c r="A39" s="2" t="str">
        <f>Alternatif!A29</f>
        <v>A28</v>
      </c>
      <c r="B39" s="2" t="str">
        <f>Alternatif!B29</f>
        <v>Vivo V40 5G</v>
      </c>
      <c r="C39" s="2">
        <f>Alternatif!C29</f>
        <v>6999000</v>
      </c>
      <c r="D39" s="2">
        <f>Alternatif!D29</f>
        <v>12</v>
      </c>
      <c r="E39" s="2">
        <f>Alternatif!E29</f>
        <v>50</v>
      </c>
      <c r="F39" s="2">
        <f>Alternatif!F29</f>
        <v>5500</v>
      </c>
      <c r="G39" s="2">
        <f>Alternatif!G29</f>
        <v>6.78</v>
      </c>
      <c r="H39" s="2">
        <f>Alternatif!H29</f>
        <v>256</v>
      </c>
    </row>
    <row r="40">
      <c r="A40" s="2" t="str">
        <f>Alternatif!A30</f>
        <v>A29</v>
      </c>
      <c r="B40" s="2" t="str">
        <f>Alternatif!B30</f>
        <v>Vivo V30 Pro</v>
      </c>
      <c r="C40" s="2">
        <f>Alternatif!C30</f>
        <v>8190000</v>
      </c>
      <c r="D40" s="2">
        <f>Alternatif!D30</f>
        <v>12</v>
      </c>
      <c r="E40" s="2">
        <f>Alternatif!E30</f>
        <v>50</v>
      </c>
      <c r="F40" s="2">
        <f>Alternatif!F30</f>
        <v>5000</v>
      </c>
      <c r="G40" s="2">
        <f>Alternatif!G30</f>
        <v>6.78</v>
      </c>
      <c r="H40" s="2">
        <f>Alternatif!H30</f>
        <v>512</v>
      </c>
    </row>
    <row r="41">
      <c r="A41" s="2" t="str">
        <f>Alternatif!A31</f>
        <v>A30</v>
      </c>
      <c r="B41" s="2" t="str">
        <f>Alternatif!B31</f>
        <v>Vivo Y100 5G</v>
      </c>
      <c r="C41" s="2">
        <f>Alternatif!C31</f>
        <v>3499000</v>
      </c>
      <c r="D41" s="2">
        <f>Alternatif!D31</f>
        <v>8</v>
      </c>
      <c r="E41" s="2">
        <f>Alternatif!E31</f>
        <v>50</v>
      </c>
      <c r="F41" s="2">
        <f>Alternatif!F31</f>
        <v>5000</v>
      </c>
      <c r="G41" s="2">
        <f>Alternatif!G31</f>
        <v>6.67</v>
      </c>
      <c r="H41" s="2">
        <f>Alternatif!H31</f>
        <v>256</v>
      </c>
    </row>
    <row r="42">
      <c r="A42" s="2" t="str">
        <f>Alternatif!A32</f>
        <v>A31</v>
      </c>
      <c r="B42" s="2" t="str">
        <f>Alternatif!B32</f>
        <v>Realme 12 Pro Plus</v>
      </c>
      <c r="C42" s="2">
        <f>Alternatif!C32</f>
        <v>6000000</v>
      </c>
      <c r="D42" s="2">
        <f>Alternatif!D32</f>
        <v>8</v>
      </c>
      <c r="E42" s="2">
        <f>Alternatif!E32</f>
        <v>50</v>
      </c>
      <c r="F42" s="2">
        <f>Alternatif!F32</f>
        <v>5000</v>
      </c>
      <c r="G42" s="2">
        <f>Alternatif!G32</f>
        <v>6.7</v>
      </c>
      <c r="H42" s="2">
        <f>Alternatif!H32</f>
        <v>256</v>
      </c>
    </row>
    <row r="43">
      <c r="A43" s="2" t="str">
        <f>Alternatif!A33</f>
        <v>A32</v>
      </c>
      <c r="B43" s="2" t="str">
        <f>Alternatif!B33</f>
        <v>Realme 12 Plus 5G</v>
      </c>
      <c r="C43" s="2">
        <f>Alternatif!C33</f>
        <v>4199000</v>
      </c>
      <c r="D43" s="2">
        <f>Alternatif!D33</f>
        <v>8</v>
      </c>
      <c r="E43" s="2">
        <f>Alternatif!E33</f>
        <v>50</v>
      </c>
      <c r="F43" s="2">
        <f>Alternatif!F33</f>
        <v>5000</v>
      </c>
      <c r="G43" s="2">
        <f>Alternatif!G33</f>
        <v>6.67</v>
      </c>
      <c r="H43" s="2">
        <f>Alternatif!H33</f>
        <v>256</v>
      </c>
    </row>
    <row r="44">
      <c r="A44" s="2" t="str">
        <f>Alternatif!A34</f>
        <v>A33</v>
      </c>
      <c r="B44" s="2" t="str">
        <f>Alternatif!B34</f>
        <v>Realme C67</v>
      </c>
      <c r="C44" s="2">
        <f>Alternatif!C34</f>
        <v>2599000</v>
      </c>
      <c r="D44" s="2">
        <f>Alternatif!D34</f>
        <v>8</v>
      </c>
      <c r="E44" s="2">
        <f>Alternatif!E34</f>
        <v>108</v>
      </c>
      <c r="F44" s="2">
        <f>Alternatif!F34</f>
        <v>5000</v>
      </c>
      <c r="G44" s="2">
        <f>Alternatif!G34</f>
        <v>6.72</v>
      </c>
      <c r="H44" s="2">
        <f>Alternatif!H34</f>
        <v>128</v>
      </c>
    </row>
    <row r="45">
      <c r="A45" s="2" t="str">
        <f>Alternatif!A35</f>
        <v>A34</v>
      </c>
      <c r="B45" s="2" t="str">
        <f>Alternatif!B35</f>
        <v>Huawei Mate X6</v>
      </c>
      <c r="C45" s="2">
        <f>Alternatif!C35</f>
        <v>24999000</v>
      </c>
      <c r="D45" s="2">
        <f>Alternatif!D35</f>
        <v>12</v>
      </c>
      <c r="E45" s="2">
        <f>Alternatif!E35</f>
        <v>50</v>
      </c>
      <c r="F45" s="2">
        <f>Alternatif!F35</f>
        <v>5110</v>
      </c>
      <c r="G45" s="2">
        <f>Alternatif!G35</f>
        <v>7.93</v>
      </c>
      <c r="H45" s="2">
        <f>Alternatif!H35</f>
        <v>512</v>
      </c>
    </row>
    <row r="46">
      <c r="A46" s="2" t="str">
        <f>Alternatif!A36</f>
        <v>A35</v>
      </c>
      <c r="B46" s="2" t="str">
        <f>Alternatif!B36</f>
        <v>Huawei Pura 70 Ultra</v>
      </c>
      <c r="C46" s="2">
        <f>Alternatif!C36</f>
        <v>17879000</v>
      </c>
      <c r="D46" s="2">
        <f>Alternatif!D36</f>
        <v>16</v>
      </c>
      <c r="E46" s="2">
        <f>Alternatif!E36</f>
        <v>50</v>
      </c>
      <c r="F46" s="2">
        <f>Alternatif!F36</f>
        <v>5200</v>
      </c>
      <c r="G46" s="2">
        <f>Alternatif!G36</f>
        <v>6.8</v>
      </c>
      <c r="H46" s="2">
        <f>Alternatif!H36</f>
        <v>512</v>
      </c>
    </row>
    <row r="47">
      <c r="A47" s="2" t="str">
        <f>Alternatif!A37</f>
        <v>A36</v>
      </c>
      <c r="B47" s="2" t="str">
        <f>Alternatif!B37</f>
        <v>Huawei P50 Pro</v>
      </c>
      <c r="C47" s="2">
        <f>Alternatif!C37</f>
        <v>12998000</v>
      </c>
      <c r="D47" s="2">
        <f>Alternatif!D37</f>
        <v>8</v>
      </c>
      <c r="E47" s="2">
        <f>Alternatif!E37</f>
        <v>64</v>
      </c>
      <c r="F47" s="2">
        <f>Alternatif!F37</f>
        <v>4360</v>
      </c>
      <c r="G47" s="2">
        <f>Alternatif!G37</f>
        <v>6.6</v>
      </c>
      <c r="H47" s="2">
        <f>Alternatif!H37</f>
        <v>256</v>
      </c>
    </row>
    <row r="48">
      <c r="A48" s="2" t="str">
        <f>Alternatif!A38</f>
        <v>A37</v>
      </c>
      <c r="B48" s="2" t="str">
        <f>Alternatif!B38</f>
        <v>Huawei Nova 9</v>
      </c>
      <c r="C48" s="2">
        <f>Alternatif!C38</f>
        <v>5799000</v>
      </c>
      <c r="D48" s="2">
        <f>Alternatif!D38</f>
        <v>8</v>
      </c>
      <c r="E48" s="2">
        <f>Alternatif!E38</f>
        <v>50</v>
      </c>
      <c r="F48" s="2">
        <f>Alternatif!F38</f>
        <v>4300</v>
      </c>
      <c r="G48" s="2">
        <f>Alternatif!G38</f>
        <v>6.57</v>
      </c>
      <c r="H48" s="2">
        <f>Alternatif!H38</f>
        <v>256</v>
      </c>
    </row>
    <row r="49">
      <c r="A49" s="2" t="str">
        <f>Alternatif!A39</f>
        <v>A38</v>
      </c>
      <c r="B49" s="2" t="str">
        <f>Alternatif!B39</f>
        <v>Huawei Mate 40 Pro</v>
      </c>
      <c r="C49" s="2">
        <f>Alternatif!C39</f>
        <v>11499000</v>
      </c>
      <c r="D49" s="2">
        <f>Alternatif!D39</f>
        <v>8</v>
      </c>
      <c r="E49" s="2">
        <f>Alternatif!E39</f>
        <v>50</v>
      </c>
      <c r="F49" s="2">
        <f>Alternatif!F39</f>
        <v>4400</v>
      </c>
      <c r="G49" s="2">
        <f>Alternatif!G39</f>
        <v>6.76</v>
      </c>
      <c r="H49" s="2">
        <f>Alternatif!H39</f>
        <v>256</v>
      </c>
    </row>
    <row r="50">
      <c r="A50" s="2" t="str">
        <f>Alternatif!A40</f>
        <v>A39</v>
      </c>
      <c r="B50" s="2" t="str">
        <f>Alternatif!B40</f>
        <v>Huawei Mate 30 Pro</v>
      </c>
      <c r="C50" s="2">
        <f>Alternatif!C40</f>
        <v>7999000</v>
      </c>
      <c r="D50" s="2">
        <f>Alternatif!D40</f>
        <v>8</v>
      </c>
      <c r="E50" s="2">
        <f>Alternatif!E40</f>
        <v>40</v>
      </c>
      <c r="F50" s="2">
        <f>Alternatif!F40</f>
        <v>4500</v>
      </c>
      <c r="G50" s="2">
        <f>Alternatif!G40</f>
        <v>6.53</v>
      </c>
      <c r="H50" s="2">
        <f>Alternatif!H40</f>
        <v>256</v>
      </c>
    </row>
    <row r="51">
      <c r="A51" s="2" t="str">
        <f>Alternatif!A41</f>
        <v>A40</v>
      </c>
      <c r="B51" s="2" t="str">
        <f>Alternatif!B41</f>
        <v>Huawei P40 Pro</v>
      </c>
      <c r="C51" s="2">
        <f>Alternatif!C41</f>
        <v>9699000</v>
      </c>
      <c r="D51" s="2">
        <f>Alternatif!D41</f>
        <v>8</v>
      </c>
      <c r="E51" s="2">
        <f>Alternatif!E41</f>
        <v>50</v>
      </c>
      <c r="F51" s="2">
        <f>Alternatif!F41</f>
        <v>4200</v>
      </c>
      <c r="G51" s="2">
        <f>Alternatif!G41</f>
        <v>6.58</v>
      </c>
      <c r="H51" s="2">
        <f>Alternatif!H41</f>
        <v>256</v>
      </c>
    </row>
    <row r="52">
      <c r="A52" s="2" t="str">
        <f>Alternatif!A42</f>
        <v>A41</v>
      </c>
      <c r="B52" s="2" t="str">
        <f>Alternatif!B42</f>
        <v>Huawei Mate Xs</v>
      </c>
      <c r="C52" s="2">
        <f>Alternatif!C42</f>
        <v>41000000</v>
      </c>
      <c r="D52" s="2">
        <f>Alternatif!D42</f>
        <v>8</v>
      </c>
      <c r="E52" s="2">
        <f>Alternatif!E42</f>
        <v>40</v>
      </c>
      <c r="F52" s="2">
        <f>Alternatif!F42</f>
        <v>4500</v>
      </c>
      <c r="G52" s="2">
        <f>Alternatif!G42</f>
        <v>8</v>
      </c>
      <c r="H52" s="2">
        <f>Alternatif!H42</f>
        <v>512</v>
      </c>
    </row>
    <row r="53">
      <c r="A53" s="2" t="str">
        <f>Alternatif!A43</f>
        <v>A42</v>
      </c>
      <c r="B53" s="2" t="str">
        <f>Alternatif!B43</f>
        <v>Samsung Galaxy Z Flip7</v>
      </c>
      <c r="C53" s="2">
        <f>Alternatif!C43</f>
        <v>16499000</v>
      </c>
      <c r="D53" s="2">
        <f>Alternatif!D43</f>
        <v>12</v>
      </c>
      <c r="E53" s="2">
        <f>Alternatif!E43</f>
        <v>50</v>
      </c>
      <c r="F53" s="2">
        <f>Alternatif!F43</f>
        <v>4000</v>
      </c>
      <c r="G53" s="2">
        <f>Alternatif!G43</f>
        <v>6.7</v>
      </c>
      <c r="H53" s="2">
        <f>Alternatif!H43</f>
        <v>256</v>
      </c>
    </row>
    <row r="54">
      <c r="A54" s="2" t="str">
        <f>Alternatif!A44</f>
        <v>A43</v>
      </c>
      <c r="B54" s="2" t="str">
        <f>Alternatif!B44</f>
        <v>Samsung Galaxy A17 5G</v>
      </c>
      <c r="C54" s="2">
        <f>Alternatif!C44</f>
        <v>3599000</v>
      </c>
      <c r="D54" s="2">
        <f>Alternatif!D44</f>
        <v>8</v>
      </c>
      <c r="E54" s="2">
        <f>Alternatif!E44</f>
        <v>50</v>
      </c>
      <c r="F54" s="2">
        <f>Alternatif!F44</f>
        <v>5000</v>
      </c>
      <c r="G54" s="2">
        <f>Alternatif!G44</f>
        <v>6.7</v>
      </c>
      <c r="H54" s="2">
        <f>Alternatif!H44</f>
        <v>256</v>
      </c>
    </row>
    <row r="55">
      <c r="A55" s="2" t="str">
        <f>Alternatif!A45</f>
        <v>A44</v>
      </c>
      <c r="B55" s="2" t="str">
        <f>Alternatif!B45</f>
        <v>Samsung Galaxy S25</v>
      </c>
      <c r="C55" s="2">
        <f>Alternatif!C45</f>
        <v>12499000</v>
      </c>
      <c r="D55" s="2">
        <f>Alternatif!D45</f>
        <v>12</v>
      </c>
      <c r="E55" s="2">
        <f>Alternatif!E45</f>
        <v>50</v>
      </c>
      <c r="F55" s="2">
        <f>Alternatif!F45</f>
        <v>4050</v>
      </c>
      <c r="G55" s="2">
        <f>Alternatif!G45</f>
        <v>6.2</v>
      </c>
      <c r="H55" s="2">
        <f>Alternatif!H45</f>
        <v>256</v>
      </c>
    </row>
    <row r="56">
      <c r="A56" s="2" t="str">
        <f>Alternatif!A46</f>
        <v>A45</v>
      </c>
      <c r="B56" s="2" t="str">
        <f>Alternatif!B46</f>
        <v>Infinix Hot 50 5G</v>
      </c>
      <c r="C56" s="2">
        <f>Alternatif!C46</f>
        <v>2179900</v>
      </c>
      <c r="D56" s="2">
        <f>Alternatif!D46</f>
        <v>8</v>
      </c>
      <c r="E56" s="2">
        <f>Alternatif!E46</f>
        <v>48</v>
      </c>
      <c r="F56" s="2">
        <f>Alternatif!F46</f>
        <v>5000</v>
      </c>
      <c r="G56" s="2">
        <f>Alternatif!G46</f>
        <v>6.7</v>
      </c>
      <c r="H56" s="2">
        <f>Alternatif!H46</f>
        <v>256</v>
      </c>
    </row>
    <row r="57">
      <c r="A57" s="2" t="str">
        <f>Alternatif!A47</f>
        <v>A46</v>
      </c>
      <c r="B57" s="2" t="str">
        <f>Alternatif!B47</f>
        <v>Infinix Hot 60 Pro</v>
      </c>
      <c r="C57" s="2">
        <f>Alternatif!C47</f>
        <v>2264000</v>
      </c>
      <c r="D57" s="2">
        <f>Alternatif!D47</f>
        <v>8</v>
      </c>
      <c r="E57" s="2">
        <f>Alternatif!E47</f>
        <v>50</v>
      </c>
      <c r="F57" s="2">
        <f>Alternatif!F47</f>
        <v>5160</v>
      </c>
      <c r="G57" s="2">
        <f>Alternatif!G47</f>
        <v>6.78</v>
      </c>
      <c r="H57" s="2">
        <f>Alternatif!H47</f>
        <v>256</v>
      </c>
    </row>
    <row r="58">
      <c r="A58" s="2" t="str">
        <f>Alternatif!A48</f>
        <v>A47</v>
      </c>
      <c r="B58" s="2" t="str">
        <f>Alternatif!B48</f>
        <v>Infinix GT 30 Pro</v>
      </c>
      <c r="C58" s="2">
        <f>Alternatif!C48</f>
        <v>4399000</v>
      </c>
      <c r="D58" s="2">
        <f>Alternatif!D48</f>
        <v>12</v>
      </c>
      <c r="E58" s="2">
        <f>Alternatif!E48</f>
        <v>108</v>
      </c>
      <c r="F58" s="2">
        <f>Alternatif!F48</f>
        <v>5200</v>
      </c>
      <c r="G58" s="2">
        <f>Alternatif!G48</f>
        <v>6.78</v>
      </c>
      <c r="H58" s="2">
        <f>Alternatif!H48</f>
        <v>512</v>
      </c>
    </row>
    <row r="59">
      <c r="A59" s="2" t="str">
        <f>Alternatif!A49</f>
        <v>A48</v>
      </c>
      <c r="B59" s="2" t="str">
        <f>Alternatif!B49</f>
        <v>Infinix Hot 60i</v>
      </c>
      <c r="C59" s="2">
        <f>Alternatif!C49</f>
        <v>1729000</v>
      </c>
      <c r="D59" s="2">
        <f>Alternatif!D49</f>
        <v>8</v>
      </c>
      <c r="E59" s="2">
        <f>Alternatif!E49</f>
        <v>50</v>
      </c>
      <c r="F59" s="2">
        <f>Alternatif!F49</f>
        <v>5160</v>
      </c>
      <c r="G59" s="2">
        <f>Alternatif!G49</f>
        <v>6.7</v>
      </c>
      <c r="H59" s="2">
        <f>Alternatif!H49</f>
        <v>256</v>
      </c>
    </row>
    <row r="60">
      <c r="A60" s="2" t="str">
        <f>Alternatif!A50</f>
        <v>A49</v>
      </c>
      <c r="B60" s="2" t="str">
        <f>Alternatif!B50</f>
        <v>Realme Narzo 60</v>
      </c>
      <c r="C60" s="2">
        <f>Alternatif!C50</f>
        <v>3199000</v>
      </c>
      <c r="D60" s="2">
        <f>Alternatif!D50</f>
        <v>6</v>
      </c>
      <c r="E60" s="2">
        <f>Alternatif!E50</f>
        <v>50</v>
      </c>
      <c r="F60" s="2">
        <f>Alternatif!F50</f>
        <v>5000</v>
      </c>
      <c r="G60" s="2">
        <f>Alternatif!G50</f>
        <v>6.6</v>
      </c>
      <c r="H60" s="2">
        <f>Alternatif!H50</f>
        <v>128</v>
      </c>
    </row>
    <row r="61">
      <c r="A61" s="2" t="str">
        <f>Alternatif!A51</f>
        <v>A50</v>
      </c>
      <c r="B61" s="2" t="str">
        <f>Alternatif!B51</f>
        <v>Infinix Note 20</v>
      </c>
      <c r="C61" s="2">
        <f>Alternatif!C51</f>
        <v>2699000</v>
      </c>
      <c r="D61" s="2">
        <f>Alternatif!D51</f>
        <v>8</v>
      </c>
      <c r="E61" s="2">
        <f>Alternatif!E51</f>
        <v>64</v>
      </c>
      <c r="F61" s="2">
        <f>Alternatif!F51</f>
        <v>5200</v>
      </c>
      <c r="G61" s="2">
        <f>Alternatif!G51</f>
        <v>6.78</v>
      </c>
      <c r="H61" s="2">
        <f>Alternatif!H51</f>
        <v>256</v>
      </c>
    </row>
    <row r="63">
      <c r="B63" s="9"/>
      <c r="C63" s="3" t="s">
        <v>140</v>
      </c>
      <c r="D63" s="11"/>
      <c r="E63" s="11"/>
      <c r="F63" s="11"/>
      <c r="G63" s="11"/>
      <c r="H63" s="4"/>
    </row>
    <row r="64">
      <c r="C64" s="20">
        <f>MIN(C12:C61)</f>
        <v>1399000</v>
      </c>
      <c r="D64" s="20">
        <f t="shared" ref="D64:H64" si="1">MAX(D12:D61)</f>
        <v>16</v>
      </c>
      <c r="E64" s="20">
        <f t="shared" si="1"/>
        <v>200</v>
      </c>
      <c r="F64" s="20">
        <f t="shared" si="1"/>
        <v>5910</v>
      </c>
      <c r="G64" s="20">
        <f t="shared" si="1"/>
        <v>8</v>
      </c>
      <c r="H64" s="20">
        <f t="shared" si="1"/>
        <v>512</v>
      </c>
    </row>
    <row r="66">
      <c r="A66" s="3" t="s">
        <v>141</v>
      </c>
      <c r="B66" s="11"/>
      <c r="C66" s="11"/>
      <c r="D66" s="11"/>
      <c r="E66" s="11"/>
      <c r="F66" s="11"/>
      <c r="G66" s="11"/>
      <c r="H66" s="4"/>
    </row>
    <row r="67">
      <c r="A67" s="1" t="s">
        <v>109</v>
      </c>
      <c r="B67" s="1" t="s">
        <v>110</v>
      </c>
      <c r="C67" s="1" t="s">
        <v>111</v>
      </c>
      <c r="D67" s="1" t="s">
        <v>113</v>
      </c>
      <c r="E67" s="1" t="s">
        <v>115</v>
      </c>
      <c r="F67" s="1" t="s">
        <v>117</v>
      </c>
      <c r="G67" s="1" t="s">
        <v>119</v>
      </c>
      <c r="H67" s="1" t="s">
        <v>121</v>
      </c>
    </row>
    <row r="68">
      <c r="A68" s="2" t="str">
        <f>Alternatif!A2</f>
        <v>A01</v>
      </c>
      <c r="B68" s="2" t="str">
        <f>Alternatif!B2</f>
        <v>Samsung Galaxy Z Flip 5</v>
      </c>
      <c r="C68" s="21">
        <f t="shared" ref="C68:C117" si="2">round($C$64/C12, 10)</f>
        <v>0.0874375</v>
      </c>
      <c r="D68" s="21">
        <f t="shared" ref="D68:D117" si="3">round(D12/$D$64, 10)</f>
        <v>0.5</v>
      </c>
      <c r="E68" s="21">
        <f t="shared" ref="E68:E117" si="4">round(E12/$E$64, 10)</f>
        <v>0.06</v>
      </c>
      <c r="F68" s="21">
        <f t="shared" ref="F68:F117" si="5">round(F12/$F$64, 10)</f>
        <v>0.6260575296</v>
      </c>
      <c r="G68" s="21">
        <f t="shared" ref="G68:G117" si="6">round(G12/$G$64, 10)</f>
        <v>0.8375</v>
      </c>
      <c r="H68" s="21">
        <f t="shared" ref="H68:H117" si="7">round(H12/$H$64, 10)</f>
        <v>1</v>
      </c>
    </row>
    <row r="69">
      <c r="A69" s="2" t="str">
        <f>Alternatif!A3</f>
        <v>A02</v>
      </c>
      <c r="B69" s="2" t="str">
        <f>Alternatif!B3</f>
        <v>Xiaomi 14 Ultra</v>
      </c>
      <c r="C69" s="21">
        <f t="shared" si="2"/>
        <v>0.1399</v>
      </c>
      <c r="D69" s="21">
        <f t="shared" si="3"/>
        <v>0.75</v>
      </c>
      <c r="E69" s="21">
        <f t="shared" si="4"/>
        <v>0.25</v>
      </c>
      <c r="F69" s="21">
        <f t="shared" si="5"/>
        <v>0.8460236887</v>
      </c>
      <c r="G69" s="21">
        <f t="shared" si="6"/>
        <v>0.84125</v>
      </c>
      <c r="H69" s="21">
        <f t="shared" si="7"/>
        <v>1</v>
      </c>
    </row>
    <row r="70">
      <c r="A70" s="2" t="str">
        <f>Alternatif!A4</f>
        <v>A03</v>
      </c>
      <c r="B70" s="2" t="str">
        <f>Alternatif!B4</f>
        <v>Poco F6</v>
      </c>
      <c r="C70" s="21">
        <f t="shared" si="2"/>
        <v>0.2798</v>
      </c>
      <c r="D70" s="21">
        <f t="shared" si="3"/>
        <v>0.5</v>
      </c>
      <c r="E70" s="21">
        <f t="shared" si="4"/>
        <v>0.32</v>
      </c>
      <c r="F70" s="21">
        <f t="shared" si="5"/>
        <v>0.8629441624</v>
      </c>
      <c r="G70" s="21">
        <f t="shared" si="6"/>
        <v>0.83375</v>
      </c>
      <c r="H70" s="21">
        <f t="shared" si="7"/>
        <v>0.5</v>
      </c>
    </row>
    <row r="71">
      <c r="A71" s="2" t="str">
        <f>Alternatif!A5</f>
        <v>A04</v>
      </c>
      <c r="B71" s="2" t="str">
        <f>Alternatif!B5</f>
        <v>Samsung Galaxy S24 Ultra</v>
      </c>
      <c r="C71" s="21">
        <f t="shared" si="2"/>
        <v>0.0635937997</v>
      </c>
      <c r="D71" s="21">
        <f t="shared" si="3"/>
        <v>0.75</v>
      </c>
      <c r="E71" s="21">
        <f t="shared" si="4"/>
        <v>1</v>
      </c>
      <c r="F71" s="21">
        <f t="shared" si="5"/>
        <v>0.8460236887</v>
      </c>
      <c r="G71" s="21">
        <f t="shared" si="6"/>
        <v>0.85</v>
      </c>
      <c r="H71" s="21">
        <f t="shared" si="7"/>
        <v>1</v>
      </c>
    </row>
    <row r="72">
      <c r="A72" s="2" t="str">
        <f>Alternatif!A6</f>
        <v>A05</v>
      </c>
      <c r="B72" s="2" t="str">
        <f>Alternatif!B6</f>
        <v>Samsung Galaxy S24</v>
      </c>
      <c r="C72" s="21">
        <f t="shared" si="2"/>
        <v>0.0932728849</v>
      </c>
      <c r="D72" s="21">
        <f t="shared" si="3"/>
        <v>0.5</v>
      </c>
      <c r="E72" s="21">
        <f t="shared" si="4"/>
        <v>0.25</v>
      </c>
      <c r="F72" s="21">
        <f t="shared" si="5"/>
        <v>0.6768189509</v>
      </c>
      <c r="G72" s="21">
        <f t="shared" si="6"/>
        <v>0.775</v>
      </c>
      <c r="H72" s="21">
        <f t="shared" si="7"/>
        <v>0.5</v>
      </c>
    </row>
    <row r="73">
      <c r="A73" s="2" t="str">
        <f>Alternatif!A7</f>
        <v>A06</v>
      </c>
      <c r="B73" s="2" t="str">
        <f>Alternatif!B7</f>
        <v>Samsung Galaxy Z Fold 5</v>
      </c>
      <c r="C73" s="21">
        <f t="shared" si="2"/>
        <v>0.0777222222</v>
      </c>
      <c r="D73" s="21">
        <f t="shared" si="3"/>
        <v>0.75</v>
      </c>
      <c r="E73" s="21">
        <f t="shared" si="4"/>
        <v>0.25</v>
      </c>
      <c r="F73" s="21">
        <f t="shared" si="5"/>
        <v>0.7529610829</v>
      </c>
      <c r="G73" s="21">
        <f t="shared" si="6"/>
        <v>0.95</v>
      </c>
      <c r="H73" s="21">
        <f t="shared" si="7"/>
        <v>1</v>
      </c>
    </row>
    <row r="74">
      <c r="A74" s="2" t="str">
        <f>Alternatif!A8</f>
        <v>A07</v>
      </c>
      <c r="B74" s="2" t="str">
        <f>Alternatif!B8</f>
        <v>Samsung Galaxy A54 5G</v>
      </c>
      <c r="C74" s="21">
        <f t="shared" si="2"/>
        <v>0.2332055343</v>
      </c>
      <c r="D74" s="21">
        <f t="shared" si="3"/>
        <v>0.5</v>
      </c>
      <c r="E74" s="21">
        <f t="shared" si="4"/>
        <v>0.25</v>
      </c>
      <c r="F74" s="21">
        <f t="shared" si="5"/>
        <v>0.8544839255</v>
      </c>
      <c r="G74" s="21">
        <f t="shared" si="6"/>
        <v>0.8</v>
      </c>
      <c r="H74" s="21">
        <f t="shared" si="7"/>
        <v>0.5</v>
      </c>
    </row>
    <row r="75">
      <c r="A75" s="2" t="str">
        <f>Alternatif!A9</f>
        <v>A08</v>
      </c>
      <c r="B75" s="2" t="str">
        <f>Alternatif!B9</f>
        <v>Samsung Galaxy A34 5G</v>
      </c>
      <c r="C75" s="21">
        <f t="shared" si="2"/>
        <v>0.2798559712</v>
      </c>
      <c r="D75" s="21">
        <f t="shared" si="3"/>
        <v>0.5</v>
      </c>
      <c r="E75" s="21">
        <f t="shared" si="4"/>
        <v>0.24</v>
      </c>
      <c r="F75" s="21">
        <f t="shared" si="5"/>
        <v>0.8460236887</v>
      </c>
      <c r="G75" s="21">
        <f t="shared" si="6"/>
        <v>0.83125</v>
      </c>
      <c r="H75" s="21">
        <f t="shared" si="7"/>
        <v>0.5</v>
      </c>
    </row>
    <row r="76">
      <c r="A76" s="2" t="str">
        <f>Alternatif!A10</f>
        <v>A09</v>
      </c>
      <c r="B76" s="2" t="str">
        <f>Alternatif!B10</f>
        <v>Samsung Galaxy A24</v>
      </c>
      <c r="C76" s="21">
        <f t="shared" si="2"/>
        <v>0.4825802001</v>
      </c>
      <c r="D76" s="21">
        <f t="shared" si="3"/>
        <v>0.5</v>
      </c>
      <c r="E76" s="21">
        <f t="shared" si="4"/>
        <v>0.25</v>
      </c>
      <c r="F76" s="21">
        <f t="shared" si="5"/>
        <v>0.8460236887</v>
      </c>
      <c r="G76" s="21">
        <f t="shared" si="6"/>
        <v>0.8125</v>
      </c>
      <c r="H76" s="21">
        <f t="shared" si="7"/>
        <v>0.25</v>
      </c>
    </row>
    <row r="77">
      <c r="A77" s="2" t="str">
        <f>Alternatif!A11</f>
        <v>A10</v>
      </c>
      <c r="B77" s="2" t="str">
        <f>Alternatif!B11</f>
        <v>Samsung Galaxy A15 5G</v>
      </c>
      <c r="C77" s="21">
        <f t="shared" si="2"/>
        <v>0.3887190886</v>
      </c>
      <c r="D77" s="21">
        <f t="shared" si="3"/>
        <v>0.5</v>
      </c>
      <c r="E77" s="21">
        <f t="shared" si="4"/>
        <v>0.25</v>
      </c>
      <c r="F77" s="21">
        <f t="shared" si="5"/>
        <v>0.8460236887</v>
      </c>
      <c r="G77" s="21">
        <f t="shared" si="6"/>
        <v>0.8125</v>
      </c>
      <c r="H77" s="21">
        <f t="shared" si="7"/>
        <v>0.5</v>
      </c>
    </row>
    <row r="78">
      <c r="A78" s="2" t="str">
        <f>Alternatif!A12</f>
        <v>A11</v>
      </c>
      <c r="B78" s="2" t="str">
        <f>Alternatif!B12</f>
        <v>Xiaomi 14T Pro</v>
      </c>
      <c r="C78" s="21">
        <f t="shared" si="2"/>
        <v>0.1646076009</v>
      </c>
      <c r="D78" s="21">
        <f t="shared" si="3"/>
        <v>0.75</v>
      </c>
      <c r="E78" s="21">
        <f t="shared" si="4"/>
        <v>0.25</v>
      </c>
      <c r="F78" s="21">
        <f t="shared" si="5"/>
        <v>0.8544839255</v>
      </c>
      <c r="G78" s="21">
        <f t="shared" si="6"/>
        <v>0.835</v>
      </c>
      <c r="H78" s="21">
        <f t="shared" si="7"/>
        <v>0.5</v>
      </c>
    </row>
    <row r="79">
      <c r="A79" s="2" t="str">
        <f>Alternatif!A13</f>
        <v>A12</v>
      </c>
      <c r="B79" s="2" t="str">
        <f>Alternatif!B13</f>
        <v>Xiaomi 14T</v>
      </c>
      <c r="C79" s="21">
        <f t="shared" si="2"/>
        <v>0.2152638868</v>
      </c>
      <c r="D79" s="21">
        <f t="shared" si="3"/>
        <v>0.5</v>
      </c>
      <c r="E79" s="21">
        <f t="shared" si="4"/>
        <v>0.25</v>
      </c>
      <c r="F79" s="21">
        <f t="shared" si="5"/>
        <v>0.8460236887</v>
      </c>
      <c r="G79" s="21">
        <f t="shared" si="6"/>
        <v>0.83375</v>
      </c>
      <c r="H79" s="21">
        <f t="shared" si="7"/>
        <v>0.5</v>
      </c>
    </row>
    <row r="80">
      <c r="A80" s="2" t="str">
        <f>Alternatif!A14</f>
        <v>A13</v>
      </c>
      <c r="B80" s="2" t="str">
        <f>Alternatif!B14</f>
        <v>Redmi Note 13 Pro 5G</v>
      </c>
      <c r="C80" s="21">
        <f t="shared" si="2"/>
        <v>0.3253488372</v>
      </c>
      <c r="D80" s="21">
        <f t="shared" si="3"/>
        <v>0.5</v>
      </c>
      <c r="E80" s="21">
        <f t="shared" si="4"/>
        <v>1</v>
      </c>
      <c r="F80" s="21">
        <f t="shared" si="5"/>
        <v>0.8629441624</v>
      </c>
      <c r="G80" s="21">
        <f t="shared" si="6"/>
        <v>0.83375</v>
      </c>
      <c r="H80" s="21">
        <f t="shared" si="7"/>
        <v>0.5</v>
      </c>
    </row>
    <row r="81">
      <c r="A81" s="2" t="str">
        <f>Alternatif!A15</f>
        <v>A14</v>
      </c>
      <c r="B81" s="2" t="str">
        <f>Alternatif!B15</f>
        <v>Redmi Note 13 5G</v>
      </c>
      <c r="C81" s="21">
        <f t="shared" si="2"/>
        <v>0.4240678994</v>
      </c>
      <c r="D81" s="21">
        <f t="shared" si="3"/>
        <v>0.375</v>
      </c>
      <c r="E81" s="21">
        <f t="shared" si="4"/>
        <v>0.54</v>
      </c>
      <c r="F81" s="21">
        <f t="shared" si="5"/>
        <v>0.8460236887</v>
      </c>
      <c r="G81" s="21">
        <f t="shared" si="6"/>
        <v>0.83375</v>
      </c>
      <c r="H81" s="21">
        <f t="shared" si="7"/>
        <v>0.25</v>
      </c>
    </row>
    <row r="82">
      <c r="A82" s="2" t="str">
        <f>Alternatif!A16</f>
        <v>A15</v>
      </c>
      <c r="B82" s="2" t="str">
        <f>Alternatif!B16</f>
        <v>Redmi 14C</v>
      </c>
      <c r="C82" s="21">
        <f t="shared" si="2"/>
        <v>0.8749218261</v>
      </c>
      <c r="D82" s="21">
        <f t="shared" si="3"/>
        <v>0.5</v>
      </c>
      <c r="E82" s="21">
        <f t="shared" si="4"/>
        <v>0.25</v>
      </c>
      <c r="F82" s="21">
        <f t="shared" si="5"/>
        <v>0.8764805415</v>
      </c>
      <c r="G82" s="21">
        <f t="shared" si="6"/>
        <v>0.86</v>
      </c>
      <c r="H82" s="21">
        <f t="shared" si="7"/>
        <v>0.25</v>
      </c>
    </row>
    <row r="83">
      <c r="A83" s="2" t="str">
        <f>Alternatif!A17</f>
        <v>A16</v>
      </c>
      <c r="B83" s="2" t="str">
        <f>Alternatif!B17</f>
        <v>Poco X6 Pro 5G</v>
      </c>
      <c r="C83" s="21">
        <f t="shared" si="2"/>
        <v>0.3216831456</v>
      </c>
      <c r="D83" s="21">
        <f t="shared" si="3"/>
        <v>0.5</v>
      </c>
      <c r="E83" s="21">
        <f t="shared" si="4"/>
        <v>0.32</v>
      </c>
      <c r="F83" s="21">
        <f t="shared" si="5"/>
        <v>0.8494077834</v>
      </c>
      <c r="G83" s="21">
        <f t="shared" si="6"/>
        <v>0.83375</v>
      </c>
      <c r="H83" s="21">
        <f t="shared" si="7"/>
        <v>0.5</v>
      </c>
    </row>
    <row r="84">
      <c r="A84" s="2" t="str">
        <f>Alternatif!A18</f>
        <v>A17</v>
      </c>
      <c r="B84" s="2" t="str">
        <f>Alternatif!B18</f>
        <v>Poco X6 5G</v>
      </c>
      <c r="C84" s="21">
        <f t="shared" si="2"/>
        <v>0.3498374594</v>
      </c>
      <c r="D84" s="21">
        <f t="shared" si="3"/>
        <v>0.5</v>
      </c>
      <c r="E84" s="21">
        <f t="shared" si="4"/>
        <v>0.32</v>
      </c>
      <c r="F84" s="21">
        <f t="shared" si="5"/>
        <v>0.8629441624</v>
      </c>
      <c r="G84" s="21">
        <f t="shared" si="6"/>
        <v>0.83375</v>
      </c>
      <c r="H84" s="21">
        <f t="shared" si="7"/>
        <v>0.5</v>
      </c>
    </row>
    <row r="85">
      <c r="A85" s="2" t="str">
        <f>Alternatif!A19</f>
        <v>A18</v>
      </c>
      <c r="B85" s="2" t="str">
        <f>Alternatif!B19</f>
        <v>Poco C75</v>
      </c>
      <c r="C85" s="21">
        <f t="shared" si="2"/>
        <v>1</v>
      </c>
      <c r="D85" s="21">
        <f t="shared" si="3"/>
        <v>0.375</v>
      </c>
      <c r="E85" s="21">
        <f t="shared" si="4"/>
        <v>0.25</v>
      </c>
      <c r="F85" s="21">
        <f t="shared" si="5"/>
        <v>0.8730964467</v>
      </c>
      <c r="G85" s="21">
        <f t="shared" si="6"/>
        <v>0.86</v>
      </c>
      <c r="H85" s="21">
        <f t="shared" si="7"/>
        <v>0.5</v>
      </c>
    </row>
    <row r="86">
      <c r="A86" s="2" t="str">
        <f>Alternatif!A20</f>
        <v>A19</v>
      </c>
      <c r="B86" s="2" t="str">
        <f>Alternatif!B20</f>
        <v>Samsung Galaxy S25 Ultra</v>
      </c>
      <c r="C86" s="21">
        <f t="shared" si="2"/>
        <v>0.0608287317</v>
      </c>
      <c r="D86" s="21">
        <f t="shared" si="3"/>
        <v>0.75</v>
      </c>
      <c r="E86" s="21">
        <f t="shared" si="4"/>
        <v>1</v>
      </c>
      <c r="F86" s="21">
        <f t="shared" si="5"/>
        <v>0.8544839255</v>
      </c>
      <c r="G86" s="21">
        <f t="shared" si="6"/>
        <v>0.8625</v>
      </c>
      <c r="H86" s="21">
        <f t="shared" si="7"/>
        <v>0.5</v>
      </c>
    </row>
    <row r="87">
      <c r="A87" s="2" t="str">
        <f>Alternatif!A21</f>
        <v>A20</v>
      </c>
      <c r="B87" s="2" t="str">
        <f>Alternatif!B21</f>
        <v>Xiaomi 14 Pro</v>
      </c>
      <c r="C87" s="21">
        <f t="shared" si="2"/>
        <v>0.0699534977</v>
      </c>
      <c r="D87" s="21">
        <f t="shared" si="3"/>
        <v>0.75</v>
      </c>
      <c r="E87" s="21">
        <f t="shared" si="4"/>
        <v>0.25</v>
      </c>
      <c r="F87" s="21">
        <f t="shared" si="5"/>
        <v>0.8460236887</v>
      </c>
      <c r="G87" s="21">
        <f t="shared" si="6"/>
        <v>0.84125</v>
      </c>
      <c r="H87" s="21">
        <f t="shared" si="7"/>
        <v>0.5</v>
      </c>
    </row>
    <row r="88">
      <c r="A88" s="2" t="str">
        <f>Alternatif!A22</f>
        <v>A21</v>
      </c>
      <c r="B88" s="2" t="str">
        <f>Alternatif!B22</f>
        <v>Oppo Find X7</v>
      </c>
      <c r="C88" s="21">
        <f t="shared" si="2"/>
        <v>0.0932728849</v>
      </c>
      <c r="D88" s="21">
        <f t="shared" si="3"/>
        <v>0.75</v>
      </c>
      <c r="E88" s="21">
        <f t="shared" si="4"/>
        <v>0.25</v>
      </c>
      <c r="F88" s="21">
        <f t="shared" si="5"/>
        <v>0.8460236887</v>
      </c>
      <c r="G88" s="21">
        <f t="shared" si="6"/>
        <v>0.85</v>
      </c>
      <c r="H88" s="21">
        <f t="shared" si="7"/>
        <v>0.5</v>
      </c>
    </row>
    <row r="89">
      <c r="A89" s="2" t="str">
        <f>Alternatif!A23</f>
        <v>A22</v>
      </c>
      <c r="B89" s="2" t="str">
        <f>Alternatif!B23</f>
        <v>Samsung Galaxy S23 Ultra</v>
      </c>
      <c r="C89" s="21">
        <f t="shared" si="2"/>
        <v>0.0717472691</v>
      </c>
      <c r="D89" s="21">
        <f t="shared" si="3"/>
        <v>0.75</v>
      </c>
      <c r="E89" s="21">
        <f t="shared" si="4"/>
        <v>1</v>
      </c>
      <c r="F89" s="21">
        <f t="shared" si="5"/>
        <v>0.8460236887</v>
      </c>
      <c r="G89" s="21">
        <f t="shared" si="6"/>
        <v>0.83375</v>
      </c>
      <c r="H89" s="21">
        <f t="shared" si="7"/>
        <v>0.5</v>
      </c>
    </row>
    <row r="90">
      <c r="A90" s="2" t="str">
        <f>Alternatif!A24</f>
        <v>A23</v>
      </c>
      <c r="B90" s="2" t="str">
        <f>Alternatif!B24</f>
        <v>Xiaomi 13T Pro</v>
      </c>
      <c r="C90" s="21">
        <f t="shared" si="2"/>
        <v>0.1036373065</v>
      </c>
      <c r="D90" s="21">
        <f t="shared" si="3"/>
        <v>0.75</v>
      </c>
      <c r="E90" s="21">
        <f t="shared" si="4"/>
        <v>0.25</v>
      </c>
      <c r="F90" s="21">
        <f t="shared" si="5"/>
        <v>0.8460236887</v>
      </c>
      <c r="G90" s="21">
        <f t="shared" si="6"/>
        <v>0.7625</v>
      </c>
      <c r="H90" s="21">
        <f t="shared" si="7"/>
        <v>0.5</v>
      </c>
    </row>
    <row r="91">
      <c r="A91" s="2" t="str">
        <f>Alternatif!A25</f>
        <v>A24</v>
      </c>
      <c r="B91" s="2" t="str">
        <f>Alternatif!B25</f>
        <v>Oppo Find X8</v>
      </c>
      <c r="C91" s="21">
        <f t="shared" si="2"/>
        <v>0.0999357097</v>
      </c>
      <c r="D91" s="21">
        <f t="shared" si="3"/>
        <v>0.75</v>
      </c>
      <c r="E91" s="21">
        <f t="shared" si="4"/>
        <v>0.25</v>
      </c>
      <c r="F91" s="21">
        <f t="shared" si="5"/>
        <v>0.9526226734</v>
      </c>
      <c r="G91" s="21">
        <f t="shared" si="6"/>
        <v>0.82375</v>
      </c>
      <c r="H91" s="21">
        <f t="shared" si="7"/>
        <v>0.5</v>
      </c>
    </row>
    <row r="92">
      <c r="A92" s="2" t="str">
        <f>Alternatif!A26</f>
        <v>A25</v>
      </c>
      <c r="B92" s="2" t="str">
        <f>Alternatif!B26</f>
        <v>Oppo Find X8 Pro</v>
      </c>
      <c r="C92" s="21">
        <f t="shared" si="2"/>
        <v>0.0777265404</v>
      </c>
      <c r="D92" s="21">
        <f t="shared" si="3"/>
        <v>1</v>
      </c>
      <c r="E92" s="21">
        <f t="shared" si="4"/>
        <v>0.25</v>
      </c>
      <c r="F92" s="21">
        <f t="shared" si="5"/>
        <v>1</v>
      </c>
      <c r="G92" s="21">
        <f t="shared" si="6"/>
        <v>0.8475</v>
      </c>
      <c r="H92" s="21">
        <f t="shared" si="7"/>
        <v>1</v>
      </c>
    </row>
    <row r="93">
      <c r="A93" s="2" t="str">
        <f>Alternatif!A27</f>
        <v>A26</v>
      </c>
      <c r="B93" s="2" t="str">
        <f>Alternatif!B27</f>
        <v>Oppo Reno 12</v>
      </c>
      <c r="C93" s="21">
        <f t="shared" si="2"/>
        <v>0.2544098927</v>
      </c>
      <c r="D93" s="21">
        <f t="shared" si="3"/>
        <v>0.5</v>
      </c>
      <c r="E93" s="21">
        <f t="shared" si="4"/>
        <v>0.25</v>
      </c>
      <c r="F93" s="21">
        <f t="shared" si="5"/>
        <v>0.8460236887</v>
      </c>
      <c r="G93" s="21">
        <f t="shared" si="6"/>
        <v>0.8375</v>
      </c>
      <c r="H93" s="21">
        <f t="shared" si="7"/>
        <v>0.5</v>
      </c>
    </row>
    <row r="94">
      <c r="A94" s="2" t="str">
        <f>Alternatif!A28</f>
        <v>A27</v>
      </c>
      <c r="B94" s="2" t="str">
        <f>Alternatif!B28</f>
        <v>Oppo A78 5G</v>
      </c>
      <c r="C94" s="21">
        <f t="shared" si="2"/>
        <v>0.4664888296</v>
      </c>
      <c r="D94" s="21">
        <f t="shared" si="3"/>
        <v>0.5</v>
      </c>
      <c r="E94" s="21">
        <f t="shared" si="4"/>
        <v>0.25</v>
      </c>
      <c r="F94" s="21">
        <f t="shared" si="5"/>
        <v>0.8460236887</v>
      </c>
      <c r="G94" s="21">
        <f t="shared" si="6"/>
        <v>0.82</v>
      </c>
      <c r="H94" s="21">
        <f t="shared" si="7"/>
        <v>0.25</v>
      </c>
    </row>
    <row r="95">
      <c r="A95" s="2" t="str">
        <f>Alternatif!A29</f>
        <v>A28</v>
      </c>
      <c r="B95" s="2" t="str">
        <f>Alternatif!B29</f>
        <v>Vivo V40 5G</v>
      </c>
      <c r="C95" s="21">
        <f t="shared" si="2"/>
        <v>0.199885698</v>
      </c>
      <c r="D95" s="21">
        <f t="shared" si="3"/>
        <v>0.75</v>
      </c>
      <c r="E95" s="21">
        <f t="shared" si="4"/>
        <v>0.25</v>
      </c>
      <c r="F95" s="21">
        <f t="shared" si="5"/>
        <v>0.9306260575</v>
      </c>
      <c r="G95" s="21">
        <f t="shared" si="6"/>
        <v>0.8475</v>
      </c>
      <c r="H95" s="21">
        <f t="shared" si="7"/>
        <v>0.5</v>
      </c>
    </row>
    <row r="96">
      <c r="A96" s="2" t="str">
        <f>Alternatif!A30</f>
        <v>A29</v>
      </c>
      <c r="B96" s="2" t="str">
        <f>Alternatif!B30</f>
        <v>Vivo V30 Pro</v>
      </c>
      <c r="C96" s="21">
        <f t="shared" si="2"/>
        <v>0.1708180708</v>
      </c>
      <c r="D96" s="21">
        <f t="shared" si="3"/>
        <v>0.75</v>
      </c>
      <c r="E96" s="21">
        <f t="shared" si="4"/>
        <v>0.25</v>
      </c>
      <c r="F96" s="21">
        <f t="shared" si="5"/>
        <v>0.8460236887</v>
      </c>
      <c r="G96" s="21">
        <f t="shared" si="6"/>
        <v>0.8475</v>
      </c>
      <c r="H96" s="21">
        <f t="shared" si="7"/>
        <v>1</v>
      </c>
    </row>
    <row r="97">
      <c r="A97" s="2" t="str">
        <f>Alternatif!A31</f>
        <v>A30</v>
      </c>
      <c r="B97" s="2" t="str">
        <f>Alternatif!B31</f>
        <v>Vivo Y100 5G</v>
      </c>
      <c r="C97" s="21">
        <f t="shared" si="2"/>
        <v>0.3998285224</v>
      </c>
      <c r="D97" s="21">
        <f t="shared" si="3"/>
        <v>0.5</v>
      </c>
      <c r="E97" s="21">
        <f t="shared" si="4"/>
        <v>0.25</v>
      </c>
      <c r="F97" s="21">
        <f t="shared" si="5"/>
        <v>0.8460236887</v>
      </c>
      <c r="G97" s="21">
        <f t="shared" si="6"/>
        <v>0.83375</v>
      </c>
      <c r="H97" s="21">
        <f t="shared" si="7"/>
        <v>0.5</v>
      </c>
    </row>
    <row r="98">
      <c r="A98" s="2" t="str">
        <f>Alternatif!A32</f>
        <v>A31</v>
      </c>
      <c r="B98" s="2" t="str">
        <f>Alternatif!B32</f>
        <v>Realme 12 Pro Plus</v>
      </c>
      <c r="C98" s="21">
        <f t="shared" si="2"/>
        <v>0.2331666667</v>
      </c>
      <c r="D98" s="21">
        <f t="shared" si="3"/>
        <v>0.5</v>
      </c>
      <c r="E98" s="21">
        <f t="shared" si="4"/>
        <v>0.25</v>
      </c>
      <c r="F98" s="21">
        <f t="shared" si="5"/>
        <v>0.8460236887</v>
      </c>
      <c r="G98" s="21">
        <f t="shared" si="6"/>
        <v>0.8375</v>
      </c>
      <c r="H98" s="21">
        <f t="shared" si="7"/>
        <v>0.5</v>
      </c>
    </row>
    <row r="99">
      <c r="A99" s="2" t="str">
        <f>Alternatif!A33</f>
        <v>A32</v>
      </c>
      <c r="B99" s="2" t="str">
        <f>Alternatif!B33</f>
        <v>Realme 12 Plus 5G</v>
      </c>
      <c r="C99" s="21">
        <f t="shared" si="2"/>
        <v>0.3331745654</v>
      </c>
      <c r="D99" s="21">
        <f t="shared" si="3"/>
        <v>0.5</v>
      </c>
      <c r="E99" s="21">
        <f t="shared" si="4"/>
        <v>0.25</v>
      </c>
      <c r="F99" s="21">
        <f t="shared" si="5"/>
        <v>0.8460236887</v>
      </c>
      <c r="G99" s="21">
        <f t="shared" si="6"/>
        <v>0.83375</v>
      </c>
      <c r="H99" s="21">
        <f t="shared" si="7"/>
        <v>0.5</v>
      </c>
    </row>
    <row r="100">
      <c r="A100" s="2" t="str">
        <f>Alternatif!A34</f>
        <v>A33</v>
      </c>
      <c r="B100" s="2" t="str">
        <f>Alternatif!B34</f>
        <v>Realme C67</v>
      </c>
      <c r="C100" s="21">
        <f t="shared" si="2"/>
        <v>0.5382839554</v>
      </c>
      <c r="D100" s="21">
        <f t="shared" si="3"/>
        <v>0.5</v>
      </c>
      <c r="E100" s="21">
        <f t="shared" si="4"/>
        <v>0.54</v>
      </c>
      <c r="F100" s="21">
        <f t="shared" si="5"/>
        <v>0.8460236887</v>
      </c>
      <c r="G100" s="21">
        <f t="shared" si="6"/>
        <v>0.84</v>
      </c>
      <c r="H100" s="21">
        <f t="shared" si="7"/>
        <v>0.25</v>
      </c>
    </row>
    <row r="101">
      <c r="A101" s="2" t="str">
        <f>Alternatif!A35</f>
        <v>A34</v>
      </c>
      <c r="B101" s="2" t="str">
        <f>Alternatif!B35</f>
        <v>Huawei Mate X6</v>
      </c>
      <c r="C101" s="21">
        <f t="shared" si="2"/>
        <v>0.0559622385</v>
      </c>
      <c r="D101" s="21">
        <f t="shared" si="3"/>
        <v>0.75</v>
      </c>
      <c r="E101" s="21">
        <f t="shared" si="4"/>
        <v>0.25</v>
      </c>
      <c r="F101" s="21">
        <f t="shared" si="5"/>
        <v>0.8646362098</v>
      </c>
      <c r="G101" s="21">
        <f t="shared" si="6"/>
        <v>0.99125</v>
      </c>
      <c r="H101" s="21">
        <f t="shared" si="7"/>
        <v>1</v>
      </c>
    </row>
    <row r="102">
      <c r="A102" s="2" t="str">
        <f>Alternatif!A36</f>
        <v>A35</v>
      </c>
      <c r="B102" s="2" t="str">
        <f>Alternatif!B36</f>
        <v>Huawei Pura 70 Ultra</v>
      </c>
      <c r="C102" s="21">
        <f t="shared" si="2"/>
        <v>0.0782482242</v>
      </c>
      <c r="D102" s="21">
        <f t="shared" si="3"/>
        <v>1</v>
      </c>
      <c r="E102" s="21">
        <f t="shared" si="4"/>
        <v>0.25</v>
      </c>
      <c r="F102" s="21">
        <f t="shared" si="5"/>
        <v>0.8798646362</v>
      </c>
      <c r="G102" s="21">
        <f t="shared" si="6"/>
        <v>0.85</v>
      </c>
      <c r="H102" s="21">
        <f t="shared" si="7"/>
        <v>1</v>
      </c>
    </row>
    <row r="103">
      <c r="A103" s="2" t="str">
        <f>Alternatif!A37</f>
        <v>A36</v>
      </c>
      <c r="B103" s="2" t="str">
        <f>Alternatif!B37</f>
        <v>Huawei P50 Pro</v>
      </c>
      <c r="C103" s="21">
        <f t="shared" si="2"/>
        <v>0.1076319434</v>
      </c>
      <c r="D103" s="21">
        <f t="shared" si="3"/>
        <v>0.5</v>
      </c>
      <c r="E103" s="21">
        <f t="shared" si="4"/>
        <v>0.32</v>
      </c>
      <c r="F103" s="21">
        <f t="shared" si="5"/>
        <v>0.7377326565</v>
      </c>
      <c r="G103" s="21">
        <f t="shared" si="6"/>
        <v>0.825</v>
      </c>
      <c r="H103" s="21">
        <f t="shared" si="7"/>
        <v>0.5</v>
      </c>
    </row>
    <row r="104">
      <c r="A104" s="2" t="str">
        <f>Alternatif!A38</f>
        <v>A37</v>
      </c>
      <c r="B104" s="2" t="str">
        <f>Alternatif!B38</f>
        <v>Huawei Nova 9</v>
      </c>
      <c r="C104" s="21">
        <f t="shared" si="2"/>
        <v>0.2412484911</v>
      </c>
      <c r="D104" s="21">
        <f t="shared" si="3"/>
        <v>0.5</v>
      </c>
      <c r="E104" s="21">
        <f t="shared" si="4"/>
        <v>0.25</v>
      </c>
      <c r="F104" s="21">
        <f t="shared" si="5"/>
        <v>0.7275803723</v>
      </c>
      <c r="G104" s="21">
        <f t="shared" si="6"/>
        <v>0.82125</v>
      </c>
      <c r="H104" s="21">
        <f t="shared" si="7"/>
        <v>0.5</v>
      </c>
    </row>
    <row r="105">
      <c r="A105" s="2" t="str">
        <f>Alternatif!A39</f>
        <v>A38</v>
      </c>
      <c r="B105" s="2" t="str">
        <f>Alternatif!B39</f>
        <v>Huawei Mate 40 Pro</v>
      </c>
      <c r="C105" s="21">
        <f t="shared" si="2"/>
        <v>0.1216627533</v>
      </c>
      <c r="D105" s="21">
        <f t="shared" si="3"/>
        <v>0.5</v>
      </c>
      <c r="E105" s="21">
        <f t="shared" si="4"/>
        <v>0.25</v>
      </c>
      <c r="F105" s="21">
        <f t="shared" si="5"/>
        <v>0.744500846</v>
      </c>
      <c r="G105" s="21">
        <f t="shared" si="6"/>
        <v>0.845</v>
      </c>
      <c r="H105" s="21">
        <f t="shared" si="7"/>
        <v>0.5</v>
      </c>
    </row>
    <row r="106">
      <c r="A106" s="2" t="str">
        <f>Alternatif!A40</f>
        <v>A39</v>
      </c>
      <c r="B106" s="2" t="str">
        <f>Alternatif!B40</f>
        <v>Huawei Mate 30 Pro</v>
      </c>
      <c r="C106" s="21">
        <f t="shared" si="2"/>
        <v>0.1748968621</v>
      </c>
      <c r="D106" s="21">
        <f t="shared" si="3"/>
        <v>0.5</v>
      </c>
      <c r="E106" s="21">
        <f t="shared" si="4"/>
        <v>0.2</v>
      </c>
      <c r="F106" s="21">
        <f t="shared" si="5"/>
        <v>0.7614213198</v>
      </c>
      <c r="G106" s="21">
        <f t="shared" si="6"/>
        <v>0.81625</v>
      </c>
      <c r="H106" s="21">
        <f t="shared" si="7"/>
        <v>0.5</v>
      </c>
    </row>
    <row r="107">
      <c r="A107" s="2" t="str">
        <f>Alternatif!A41</f>
        <v>A40</v>
      </c>
      <c r="B107" s="2" t="str">
        <f>Alternatif!B41</f>
        <v>Huawei P40 Pro</v>
      </c>
      <c r="C107" s="21">
        <f t="shared" si="2"/>
        <v>0.1442416744</v>
      </c>
      <c r="D107" s="21">
        <f t="shared" si="3"/>
        <v>0.5</v>
      </c>
      <c r="E107" s="21">
        <f t="shared" si="4"/>
        <v>0.25</v>
      </c>
      <c r="F107" s="21">
        <f t="shared" si="5"/>
        <v>0.7106598985</v>
      </c>
      <c r="G107" s="21">
        <f t="shared" si="6"/>
        <v>0.8225</v>
      </c>
      <c r="H107" s="21">
        <f t="shared" si="7"/>
        <v>0.5</v>
      </c>
    </row>
    <row r="108">
      <c r="A108" s="2" t="str">
        <f>Alternatif!A42</f>
        <v>A41</v>
      </c>
      <c r="B108" s="2" t="str">
        <f>Alternatif!B42</f>
        <v>Huawei Mate Xs</v>
      </c>
      <c r="C108" s="21">
        <f t="shared" si="2"/>
        <v>0.0341219512</v>
      </c>
      <c r="D108" s="21">
        <f t="shared" si="3"/>
        <v>0.5</v>
      </c>
      <c r="E108" s="21">
        <f t="shared" si="4"/>
        <v>0.2</v>
      </c>
      <c r="F108" s="21">
        <f t="shared" si="5"/>
        <v>0.7614213198</v>
      </c>
      <c r="G108" s="21">
        <f t="shared" si="6"/>
        <v>1</v>
      </c>
      <c r="H108" s="21">
        <f t="shared" si="7"/>
        <v>1</v>
      </c>
    </row>
    <row r="109">
      <c r="A109" s="2" t="str">
        <f>Alternatif!A43</f>
        <v>A42</v>
      </c>
      <c r="B109" s="2" t="str">
        <f>Alternatif!B43</f>
        <v>Samsung Galaxy Z Flip7</v>
      </c>
      <c r="C109" s="21">
        <f t="shared" si="2"/>
        <v>0.0847930178</v>
      </c>
      <c r="D109" s="21">
        <f t="shared" si="3"/>
        <v>0.75</v>
      </c>
      <c r="E109" s="21">
        <f t="shared" si="4"/>
        <v>0.25</v>
      </c>
      <c r="F109" s="21">
        <f t="shared" si="5"/>
        <v>0.6768189509</v>
      </c>
      <c r="G109" s="21">
        <f t="shared" si="6"/>
        <v>0.8375</v>
      </c>
      <c r="H109" s="21">
        <f t="shared" si="7"/>
        <v>0.5</v>
      </c>
    </row>
    <row r="110">
      <c r="A110" s="2" t="str">
        <f>Alternatif!A44</f>
        <v>A43</v>
      </c>
      <c r="B110" s="2" t="str">
        <f>Alternatif!B44</f>
        <v>Samsung Galaxy A17 5G</v>
      </c>
      <c r="C110" s="21">
        <f t="shared" si="2"/>
        <v>0.3887190886</v>
      </c>
      <c r="D110" s="21">
        <f t="shared" si="3"/>
        <v>0.5</v>
      </c>
      <c r="E110" s="21">
        <f t="shared" si="4"/>
        <v>0.25</v>
      </c>
      <c r="F110" s="21">
        <f t="shared" si="5"/>
        <v>0.8460236887</v>
      </c>
      <c r="G110" s="21">
        <f t="shared" si="6"/>
        <v>0.8375</v>
      </c>
      <c r="H110" s="21">
        <f t="shared" si="7"/>
        <v>0.5</v>
      </c>
    </row>
    <row r="111">
      <c r="A111" s="2" t="str">
        <f>Alternatif!A45</f>
        <v>A44</v>
      </c>
      <c r="B111" s="2" t="str">
        <f>Alternatif!B45</f>
        <v>Samsung Galaxy S25</v>
      </c>
      <c r="C111" s="21">
        <f t="shared" si="2"/>
        <v>0.1119289543</v>
      </c>
      <c r="D111" s="21">
        <f t="shared" si="3"/>
        <v>0.75</v>
      </c>
      <c r="E111" s="21">
        <f t="shared" si="4"/>
        <v>0.25</v>
      </c>
      <c r="F111" s="21">
        <f t="shared" si="5"/>
        <v>0.6852791878</v>
      </c>
      <c r="G111" s="21">
        <f t="shared" si="6"/>
        <v>0.775</v>
      </c>
      <c r="H111" s="21">
        <f t="shared" si="7"/>
        <v>0.5</v>
      </c>
    </row>
    <row r="112">
      <c r="A112" s="2" t="str">
        <f>Alternatif!A46</f>
        <v>A45</v>
      </c>
      <c r="B112" s="2" t="str">
        <f>Alternatif!B46</f>
        <v>Infinix Hot 50 5G</v>
      </c>
      <c r="C112" s="21">
        <f t="shared" si="2"/>
        <v>0.6417725584</v>
      </c>
      <c r="D112" s="21">
        <f t="shared" si="3"/>
        <v>0.5</v>
      </c>
      <c r="E112" s="21">
        <f t="shared" si="4"/>
        <v>0.24</v>
      </c>
      <c r="F112" s="21">
        <f t="shared" si="5"/>
        <v>0.8460236887</v>
      </c>
      <c r="G112" s="21">
        <f t="shared" si="6"/>
        <v>0.8375</v>
      </c>
      <c r="H112" s="21">
        <f t="shared" si="7"/>
        <v>0.5</v>
      </c>
    </row>
    <row r="113">
      <c r="A113" s="2" t="str">
        <f>Alternatif!A47</f>
        <v>A46</v>
      </c>
      <c r="B113" s="2" t="str">
        <f>Alternatif!B47</f>
        <v>Infinix Hot 60 Pro</v>
      </c>
      <c r="C113" s="21">
        <f t="shared" si="2"/>
        <v>0.6179328622</v>
      </c>
      <c r="D113" s="21">
        <f t="shared" si="3"/>
        <v>0.5</v>
      </c>
      <c r="E113" s="21">
        <f t="shared" si="4"/>
        <v>0.25</v>
      </c>
      <c r="F113" s="21">
        <f t="shared" si="5"/>
        <v>0.8730964467</v>
      </c>
      <c r="G113" s="21">
        <f t="shared" si="6"/>
        <v>0.8475</v>
      </c>
      <c r="H113" s="21">
        <f t="shared" si="7"/>
        <v>0.5</v>
      </c>
    </row>
    <row r="114">
      <c r="A114" s="2" t="str">
        <f>Alternatif!A48</f>
        <v>A47</v>
      </c>
      <c r="B114" s="2" t="str">
        <f>Alternatif!B48</f>
        <v>Infinix GT 30 Pro</v>
      </c>
      <c r="C114" s="21">
        <f t="shared" si="2"/>
        <v>0.3180268243</v>
      </c>
      <c r="D114" s="21">
        <f t="shared" si="3"/>
        <v>0.75</v>
      </c>
      <c r="E114" s="21">
        <f t="shared" si="4"/>
        <v>0.54</v>
      </c>
      <c r="F114" s="21">
        <f t="shared" si="5"/>
        <v>0.8798646362</v>
      </c>
      <c r="G114" s="21">
        <f t="shared" si="6"/>
        <v>0.8475</v>
      </c>
      <c r="H114" s="21">
        <f t="shared" si="7"/>
        <v>1</v>
      </c>
    </row>
    <row r="115">
      <c r="A115" s="2" t="str">
        <f>Alternatif!A49</f>
        <v>A48</v>
      </c>
      <c r="B115" s="2" t="str">
        <f>Alternatif!B49</f>
        <v>Infinix Hot 60i</v>
      </c>
      <c r="C115" s="21">
        <f t="shared" si="2"/>
        <v>0.8091382302</v>
      </c>
      <c r="D115" s="21">
        <f t="shared" si="3"/>
        <v>0.5</v>
      </c>
      <c r="E115" s="21">
        <f t="shared" si="4"/>
        <v>0.25</v>
      </c>
      <c r="F115" s="21">
        <f t="shared" si="5"/>
        <v>0.8730964467</v>
      </c>
      <c r="G115" s="21">
        <f t="shared" si="6"/>
        <v>0.8375</v>
      </c>
      <c r="H115" s="21">
        <f t="shared" si="7"/>
        <v>0.5</v>
      </c>
    </row>
    <row r="116">
      <c r="A116" s="2" t="str">
        <f>Alternatif!A50</f>
        <v>A49</v>
      </c>
      <c r="B116" s="2" t="str">
        <f>Alternatif!B50</f>
        <v>Realme Narzo 60</v>
      </c>
      <c r="C116" s="21">
        <f t="shared" si="2"/>
        <v>0.4373241638</v>
      </c>
      <c r="D116" s="21">
        <f t="shared" si="3"/>
        <v>0.375</v>
      </c>
      <c r="E116" s="21">
        <f t="shared" si="4"/>
        <v>0.25</v>
      </c>
      <c r="F116" s="21">
        <f t="shared" si="5"/>
        <v>0.8460236887</v>
      </c>
      <c r="G116" s="21">
        <f t="shared" si="6"/>
        <v>0.825</v>
      </c>
      <c r="H116" s="21">
        <f t="shared" si="7"/>
        <v>0.25</v>
      </c>
    </row>
    <row r="117">
      <c r="A117" s="2" t="str">
        <f>Alternatif!A51</f>
        <v>A50</v>
      </c>
      <c r="B117" s="2" t="str">
        <f>Alternatif!B51</f>
        <v>Infinix Note 20</v>
      </c>
      <c r="C117" s="21">
        <f t="shared" si="2"/>
        <v>0.518340126</v>
      </c>
      <c r="D117" s="21">
        <f t="shared" si="3"/>
        <v>0.5</v>
      </c>
      <c r="E117" s="21">
        <f t="shared" si="4"/>
        <v>0.32</v>
      </c>
      <c r="F117" s="21">
        <f t="shared" si="5"/>
        <v>0.8798646362</v>
      </c>
      <c r="G117" s="21">
        <f t="shared" si="6"/>
        <v>0.8475</v>
      </c>
      <c r="H117" s="21">
        <f t="shared" si="7"/>
        <v>0.5</v>
      </c>
    </row>
    <row r="119">
      <c r="A119" s="3" t="s">
        <v>142</v>
      </c>
      <c r="B119" s="11"/>
      <c r="C119" s="11"/>
      <c r="D119" s="11"/>
      <c r="E119" s="11"/>
      <c r="F119" s="11"/>
      <c r="G119" s="11"/>
      <c r="H119" s="11"/>
      <c r="I119" s="4"/>
    </row>
    <row r="120">
      <c r="A120" s="1" t="s">
        <v>109</v>
      </c>
      <c r="B120" s="1" t="s">
        <v>110</v>
      </c>
      <c r="C120" s="1" t="s">
        <v>111</v>
      </c>
      <c r="D120" s="1" t="s">
        <v>113</v>
      </c>
      <c r="E120" s="1" t="s">
        <v>115</v>
      </c>
      <c r="F120" s="1" t="s">
        <v>117</v>
      </c>
      <c r="G120" s="1" t="s">
        <v>119</v>
      </c>
      <c r="H120" s="1" t="s">
        <v>121</v>
      </c>
      <c r="I120" s="1" t="s">
        <v>143</v>
      </c>
    </row>
    <row r="121">
      <c r="A121" s="2" t="str">
        <f>Alternatif!A2</f>
        <v>A01</v>
      </c>
      <c r="B121" s="2" t="str">
        <f>Alternatif!B2</f>
        <v>Samsung Galaxy Z Flip 5</v>
      </c>
      <c r="C121" s="21">
        <f t="shared" ref="C121:C170" si="8">round($D$3*C68, 10)</f>
        <v>0.0245799555</v>
      </c>
      <c r="D121" s="21">
        <f t="shared" ref="D121:D170" si="9">round($D$4*D68, 10)</f>
        <v>0.1108159074</v>
      </c>
      <c r="E121" s="21">
        <f t="shared" ref="E121:E170" si="10">round($D$5*E68, 10)</f>
        <v>0.0106844788</v>
      </c>
      <c r="F121" s="21">
        <f t="shared" ref="F121:F170" si="11">round($D$6*F68, 10)</f>
        <v>0.0899270009</v>
      </c>
      <c r="G121" s="21">
        <f t="shared" ref="G121:G170" si="12">round($D$7*G68, 10)</f>
        <v>0.050580055</v>
      </c>
      <c r="H121" s="21">
        <f t="shared" ref="H121:H170" si="13">round($D$8*H68, 10)</f>
        <v>0.1151447148</v>
      </c>
      <c r="I121" s="20">
        <f t="shared" ref="I121:I170" si="14">round(SUM(C121:H121), 10)</f>
        <v>0.4017321124</v>
      </c>
    </row>
    <row r="122">
      <c r="A122" s="2" t="str">
        <f>Alternatif!A3</f>
        <v>A02</v>
      </c>
      <c r="B122" s="2" t="str">
        <f>Alternatif!B3</f>
        <v>Xiaomi 14 Ultra</v>
      </c>
      <c r="C122" s="21">
        <f t="shared" si="8"/>
        <v>0.0393279288</v>
      </c>
      <c r="D122" s="21">
        <f t="shared" si="9"/>
        <v>0.1662238611</v>
      </c>
      <c r="E122" s="21">
        <f t="shared" si="10"/>
        <v>0.0445186615</v>
      </c>
      <c r="F122" s="21">
        <f t="shared" si="11"/>
        <v>0.1215229742</v>
      </c>
      <c r="G122" s="21">
        <f t="shared" si="12"/>
        <v>0.0508065329</v>
      </c>
      <c r="H122" s="21">
        <f t="shared" si="13"/>
        <v>0.1151447148</v>
      </c>
      <c r="I122" s="20">
        <f t="shared" si="14"/>
        <v>0.5375446733</v>
      </c>
    </row>
    <row r="123">
      <c r="A123" s="2" t="str">
        <f>Alternatif!A4</f>
        <v>A03</v>
      </c>
      <c r="B123" s="2" t="str">
        <f>Alternatif!B4</f>
        <v>Poco F6</v>
      </c>
      <c r="C123" s="21">
        <f t="shared" si="8"/>
        <v>0.0786558576</v>
      </c>
      <c r="D123" s="21">
        <f t="shared" si="9"/>
        <v>0.1108159074</v>
      </c>
      <c r="E123" s="21">
        <f t="shared" si="10"/>
        <v>0.0569838867</v>
      </c>
      <c r="F123" s="21">
        <f t="shared" si="11"/>
        <v>0.1239534337</v>
      </c>
      <c r="G123" s="21">
        <f t="shared" si="12"/>
        <v>0.0503535772</v>
      </c>
      <c r="H123" s="21">
        <f t="shared" si="13"/>
        <v>0.0575723574</v>
      </c>
      <c r="I123" s="20">
        <f t="shared" si="14"/>
        <v>0.47833502</v>
      </c>
    </row>
    <row r="124">
      <c r="A124" s="2" t="str">
        <f>Alternatif!A5</f>
        <v>A04</v>
      </c>
      <c r="B124" s="2" t="str">
        <f>Alternatif!B5</f>
        <v>Samsung Galaxy S24 Ultra</v>
      </c>
      <c r="C124" s="21">
        <f t="shared" si="8"/>
        <v>0.0178771439</v>
      </c>
      <c r="D124" s="21">
        <f t="shared" si="9"/>
        <v>0.1662238611</v>
      </c>
      <c r="E124" s="21">
        <f t="shared" si="10"/>
        <v>0.178074646</v>
      </c>
      <c r="F124" s="21">
        <f t="shared" si="11"/>
        <v>0.1215229742</v>
      </c>
      <c r="G124" s="21">
        <f t="shared" si="12"/>
        <v>0.0513349812</v>
      </c>
      <c r="H124" s="21">
        <f t="shared" si="13"/>
        <v>0.1151447148</v>
      </c>
      <c r="I124" s="20">
        <f t="shared" si="14"/>
        <v>0.6501783212</v>
      </c>
    </row>
    <row r="125">
      <c r="A125" s="2" t="str">
        <f>Alternatif!A6</f>
        <v>A05</v>
      </c>
      <c r="B125" s="2" t="str">
        <f>Alternatif!B6</f>
        <v>Samsung Galaxy S24</v>
      </c>
      <c r="C125" s="21">
        <f t="shared" si="8"/>
        <v>0.0262203672</v>
      </c>
      <c r="D125" s="21">
        <f t="shared" si="9"/>
        <v>0.1108159074</v>
      </c>
      <c r="E125" s="21">
        <f t="shared" si="10"/>
        <v>0.0445186615</v>
      </c>
      <c r="F125" s="21">
        <f t="shared" si="11"/>
        <v>0.0972183794</v>
      </c>
      <c r="G125" s="21">
        <f t="shared" si="12"/>
        <v>0.0468054241</v>
      </c>
      <c r="H125" s="21">
        <f t="shared" si="13"/>
        <v>0.0575723574</v>
      </c>
      <c r="I125" s="20">
        <f t="shared" si="14"/>
        <v>0.383151097</v>
      </c>
    </row>
    <row r="126">
      <c r="A126" s="2" t="str">
        <f>Alternatif!A7</f>
        <v>A06</v>
      </c>
      <c r="B126" s="2" t="str">
        <f>Alternatif!B7</f>
        <v>Samsung Galaxy Z Fold 5</v>
      </c>
      <c r="C126" s="21">
        <f t="shared" si="8"/>
        <v>0.0218488493</v>
      </c>
      <c r="D126" s="21">
        <f t="shared" si="9"/>
        <v>0.1662238611</v>
      </c>
      <c r="E126" s="21">
        <f t="shared" si="10"/>
        <v>0.0445186615</v>
      </c>
      <c r="F126" s="21">
        <f t="shared" si="11"/>
        <v>0.108155447</v>
      </c>
      <c r="G126" s="21">
        <f t="shared" si="12"/>
        <v>0.0573743908</v>
      </c>
      <c r="H126" s="21">
        <f t="shared" si="13"/>
        <v>0.1151447148</v>
      </c>
      <c r="I126" s="20">
        <f t="shared" si="14"/>
        <v>0.5132659245</v>
      </c>
    </row>
    <row r="127">
      <c r="A127" s="2" t="str">
        <f>Alternatif!A8</f>
        <v>A07</v>
      </c>
      <c r="B127" s="2" t="str">
        <f>Alternatif!B8</f>
        <v>Samsung Galaxy A54 5G</v>
      </c>
      <c r="C127" s="21">
        <f t="shared" si="8"/>
        <v>0.0655574743</v>
      </c>
      <c r="D127" s="21">
        <f t="shared" si="9"/>
        <v>0.1108159074</v>
      </c>
      <c r="E127" s="21">
        <f t="shared" si="10"/>
        <v>0.0445186615</v>
      </c>
      <c r="F127" s="21">
        <f t="shared" si="11"/>
        <v>0.1227382039</v>
      </c>
      <c r="G127" s="21">
        <f t="shared" si="12"/>
        <v>0.0483152765</v>
      </c>
      <c r="H127" s="21">
        <f t="shared" si="13"/>
        <v>0.0575723574</v>
      </c>
      <c r="I127" s="20">
        <f t="shared" si="14"/>
        <v>0.449517881</v>
      </c>
    </row>
    <row r="128">
      <c r="A128" s="2" t="str">
        <f>Alternatif!A9</f>
        <v>A08</v>
      </c>
      <c r="B128" s="2" t="str">
        <f>Alternatif!B9</f>
        <v>Samsung Galaxy A34 5G</v>
      </c>
      <c r="C128" s="21">
        <f t="shared" si="8"/>
        <v>0.078671592</v>
      </c>
      <c r="D128" s="21">
        <f t="shared" si="9"/>
        <v>0.1108159074</v>
      </c>
      <c r="E128" s="21">
        <f t="shared" si="10"/>
        <v>0.042737915</v>
      </c>
      <c r="F128" s="21">
        <f t="shared" si="11"/>
        <v>0.1215229742</v>
      </c>
      <c r="G128" s="21">
        <f t="shared" si="12"/>
        <v>0.0502025919</v>
      </c>
      <c r="H128" s="21">
        <f t="shared" si="13"/>
        <v>0.0575723574</v>
      </c>
      <c r="I128" s="20">
        <f t="shared" si="14"/>
        <v>0.4615233379</v>
      </c>
    </row>
    <row r="129">
      <c r="A129" s="2" t="str">
        <f>Alternatif!A10</f>
        <v>A09</v>
      </c>
      <c r="B129" s="2" t="str">
        <f>Alternatif!B10</f>
        <v>Samsung Galaxy A24</v>
      </c>
      <c r="C129" s="21">
        <f t="shared" si="8"/>
        <v>0.1356603271</v>
      </c>
      <c r="D129" s="21">
        <f t="shared" si="9"/>
        <v>0.1108159074</v>
      </c>
      <c r="E129" s="21">
        <f t="shared" si="10"/>
        <v>0.0445186615</v>
      </c>
      <c r="F129" s="21">
        <f t="shared" si="11"/>
        <v>0.1215229742</v>
      </c>
      <c r="G129" s="21">
        <f t="shared" si="12"/>
        <v>0.0490702026</v>
      </c>
      <c r="H129" s="21">
        <f t="shared" si="13"/>
        <v>0.0287861787</v>
      </c>
      <c r="I129" s="20">
        <f t="shared" si="14"/>
        <v>0.4903742515</v>
      </c>
    </row>
    <row r="130">
      <c r="A130" s="2" t="str">
        <f>Alternatif!A11</f>
        <v>A10</v>
      </c>
      <c r="B130" s="2" t="str">
        <f>Alternatif!B11</f>
        <v>Samsung Galaxy A15 5G</v>
      </c>
      <c r="C130" s="21">
        <f t="shared" si="8"/>
        <v>0.1092746008</v>
      </c>
      <c r="D130" s="21">
        <f t="shared" si="9"/>
        <v>0.1108159074</v>
      </c>
      <c r="E130" s="21">
        <f t="shared" si="10"/>
        <v>0.0445186615</v>
      </c>
      <c r="F130" s="21">
        <f t="shared" si="11"/>
        <v>0.1215229742</v>
      </c>
      <c r="G130" s="21">
        <f t="shared" si="12"/>
        <v>0.0490702026</v>
      </c>
      <c r="H130" s="21">
        <f t="shared" si="13"/>
        <v>0.0575723574</v>
      </c>
      <c r="I130" s="20">
        <f t="shared" si="14"/>
        <v>0.4927747039</v>
      </c>
    </row>
    <row r="131">
      <c r="A131" s="2" t="str">
        <f>Alternatif!A12</f>
        <v>A11</v>
      </c>
      <c r="B131" s="2" t="str">
        <f>Alternatif!B12</f>
        <v>Xiaomi 14T Pro</v>
      </c>
      <c r="C131" s="21">
        <f t="shared" si="8"/>
        <v>0.0462735955</v>
      </c>
      <c r="D131" s="21">
        <f t="shared" si="9"/>
        <v>0.1662238611</v>
      </c>
      <c r="E131" s="21">
        <f t="shared" si="10"/>
        <v>0.0445186615</v>
      </c>
      <c r="F131" s="21">
        <f t="shared" si="11"/>
        <v>0.1227382039</v>
      </c>
      <c r="G131" s="21">
        <f t="shared" si="12"/>
        <v>0.0504290698</v>
      </c>
      <c r="H131" s="21">
        <f t="shared" si="13"/>
        <v>0.0575723574</v>
      </c>
      <c r="I131" s="20">
        <f t="shared" si="14"/>
        <v>0.4877557492</v>
      </c>
    </row>
    <row r="132">
      <c r="A132" s="2" t="str">
        <f>Alternatif!A13</f>
        <v>A12</v>
      </c>
      <c r="B132" s="2" t="str">
        <f>Alternatif!B13</f>
        <v>Xiaomi 14T</v>
      </c>
      <c r="C132" s="21">
        <f t="shared" si="8"/>
        <v>0.0605138157</v>
      </c>
      <c r="D132" s="21">
        <f t="shared" si="9"/>
        <v>0.1108159074</v>
      </c>
      <c r="E132" s="21">
        <f t="shared" si="10"/>
        <v>0.0445186615</v>
      </c>
      <c r="F132" s="21">
        <f t="shared" si="11"/>
        <v>0.1215229742</v>
      </c>
      <c r="G132" s="21">
        <f t="shared" si="12"/>
        <v>0.0503535772</v>
      </c>
      <c r="H132" s="21">
        <f t="shared" si="13"/>
        <v>0.0575723574</v>
      </c>
      <c r="I132" s="20">
        <f t="shared" si="14"/>
        <v>0.4452972934</v>
      </c>
    </row>
    <row r="133">
      <c r="A133" s="2" t="str">
        <f>Alternatif!A14</f>
        <v>A13</v>
      </c>
      <c r="B133" s="2" t="str">
        <f>Alternatif!B14</f>
        <v>Redmi Note 13 Pro 5G</v>
      </c>
      <c r="C133" s="21">
        <f t="shared" si="8"/>
        <v>0.0914602996</v>
      </c>
      <c r="D133" s="21">
        <f t="shared" si="9"/>
        <v>0.1108159074</v>
      </c>
      <c r="E133" s="21">
        <f t="shared" si="10"/>
        <v>0.178074646</v>
      </c>
      <c r="F133" s="21">
        <f t="shared" si="11"/>
        <v>0.1239534337</v>
      </c>
      <c r="G133" s="21">
        <f t="shared" si="12"/>
        <v>0.0503535772</v>
      </c>
      <c r="H133" s="21">
        <f t="shared" si="13"/>
        <v>0.0575723574</v>
      </c>
      <c r="I133" s="20">
        <f t="shared" si="14"/>
        <v>0.6122302213</v>
      </c>
    </row>
    <row r="134">
      <c r="A134" s="2" t="str">
        <f>Alternatif!A15</f>
        <v>A14</v>
      </c>
      <c r="B134" s="2" t="str">
        <f>Alternatif!B15</f>
        <v>Redmi Note 13 5G</v>
      </c>
      <c r="C134" s="21">
        <f t="shared" si="8"/>
        <v>0.1192116666</v>
      </c>
      <c r="D134" s="21">
        <f t="shared" si="9"/>
        <v>0.0831119305</v>
      </c>
      <c r="E134" s="21">
        <f t="shared" si="10"/>
        <v>0.0961603088</v>
      </c>
      <c r="F134" s="21">
        <f t="shared" si="11"/>
        <v>0.1215229742</v>
      </c>
      <c r="G134" s="21">
        <f t="shared" si="12"/>
        <v>0.0503535772</v>
      </c>
      <c r="H134" s="21">
        <f t="shared" si="13"/>
        <v>0.0287861787</v>
      </c>
      <c r="I134" s="20">
        <f t="shared" si="14"/>
        <v>0.499146636</v>
      </c>
    </row>
    <row r="135">
      <c r="A135" s="2" t="str">
        <f>Alternatif!A16</f>
        <v>A15</v>
      </c>
      <c r="B135" s="2" t="str">
        <f>Alternatif!B16</f>
        <v>Redmi 14C</v>
      </c>
      <c r="C135" s="21">
        <f t="shared" si="8"/>
        <v>0.2459532759</v>
      </c>
      <c r="D135" s="21">
        <f t="shared" si="9"/>
        <v>0.1108159074</v>
      </c>
      <c r="E135" s="21">
        <f t="shared" si="10"/>
        <v>0.0445186615</v>
      </c>
      <c r="F135" s="21">
        <f t="shared" si="11"/>
        <v>0.1258978013</v>
      </c>
      <c r="G135" s="21">
        <f t="shared" si="12"/>
        <v>0.0519389222</v>
      </c>
      <c r="H135" s="21">
        <f t="shared" si="13"/>
        <v>0.0287861787</v>
      </c>
      <c r="I135" s="20">
        <f t="shared" si="14"/>
        <v>0.607910747</v>
      </c>
    </row>
    <row r="136">
      <c r="A136" s="2" t="str">
        <f>Alternatif!A17</f>
        <v>A16</v>
      </c>
      <c r="B136" s="2" t="str">
        <f>Alternatif!B17</f>
        <v>Poco X6 Pro 5G</v>
      </c>
      <c r="C136" s="21">
        <f t="shared" si="8"/>
        <v>0.0904298202</v>
      </c>
      <c r="D136" s="21">
        <f t="shared" si="9"/>
        <v>0.1108159074</v>
      </c>
      <c r="E136" s="21">
        <f t="shared" si="10"/>
        <v>0.0569838867</v>
      </c>
      <c r="F136" s="21">
        <f t="shared" si="11"/>
        <v>0.1220090661</v>
      </c>
      <c r="G136" s="21">
        <f t="shared" si="12"/>
        <v>0.0503535772</v>
      </c>
      <c r="H136" s="21">
        <f t="shared" si="13"/>
        <v>0.0575723574</v>
      </c>
      <c r="I136" s="20">
        <f t="shared" si="14"/>
        <v>0.488164615</v>
      </c>
    </row>
    <row r="137">
      <c r="A137" s="2" t="str">
        <f>Alternatif!A18</f>
        <v>A17</v>
      </c>
      <c r="B137" s="2" t="str">
        <f>Alternatif!B18</f>
        <v>Poco X6 5G</v>
      </c>
      <c r="C137" s="21">
        <f t="shared" si="8"/>
        <v>0.0983444082</v>
      </c>
      <c r="D137" s="21">
        <f t="shared" si="9"/>
        <v>0.1108159074</v>
      </c>
      <c r="E137" s="21">
        <f t="shared" si="10"/>
        <v>0.0569838867</v>
      </c>
      <c r="F137" s="21">
        <f t="shared" si="11"/>
        <v>0.1239534337</v>
      </c>
      <c r="G137" s="21">
        <f t="shared" si="12"/>
        <v>0.0503535772</v>
      </c>
      <c r="H137" s="21">
        <f t="shared" si="13"/>
        <v>0.0575723574</v>
      </c>
      <c r="I137" s="20">
        <f t="shared" si="14"/>
        <v>0.4980235706</v>
      </c>
    </row>
    <row r="138">
      <c r="A138" s="2" t="str">
        <f>Alternatif!A19</f>
        <v>A18</v>
      </c>
      <c r="B138" s="2" t="str">
        <f>Alternatif!B19</f>
        <v>Poco C75</v>
      </c>
      <c r="C138" s="21">
        <f t="shared" si="8"/>
        <v>0.2811145734</v>
      </c>
      <c r="D138" s="21">
        <f t="shared" si="9"/>
        <v>0.0831119305</v>
      </c>
      <c r="E138" s="21">
        <f t="shared" si="10"/>
        <v>0.0445186615</v>
      </c>
      <c r="F138" s="21">
        <f t="shared" si="11"/>
        <v>0.1254117094</v>
      </c>
      <c r="G138" s="21">
        <f t="shared" si="12"/>
        <v>0.0519389222</v>
      </c>
      <c r="H138" s="21">
        <f t="shared" si="13"/>
        <v>0.0575723574</v>
      </c>
      <c r="I138" s="20">
        <f t="shared" si="14"/>
        <v>0.6436681544</v>
      </c>
    </row>
    <row r="139">
      <c r="A139" s="2" t="str">
        <f>Alternatif!A20</f>
        <v>A19</v>
      </c>
      <c r="B139" s="2" t="str">
        <f>Alternatif!B20</f>
        <v>Samsung Galaxy S25 Ultra</v>
      </c>
      <c r="C139" s="21">
        <f t="shared" si="8"/>
        <v>0.017099843</v>
      </c>
      <c r="D139" s="21">
        <f t="shared" si="9"/>
        <v>0.1662238611</v>
      </c>
      <c r="E139" s="21">
        <f t="shared" si="10"/>
        <v>0.178074646</v>
      </c>
      <c r="F139" s="21">
        <f t="shared" si="11"/>
        <v>0.1227382039</v>
      </c>
      <c r="G139" s="21">
        <f t="shared" si="12"/>
        <v>0.0520899074</v>
      </c>
      <c r="H139" s="21">
        <f t="shared" si="13"/>
        <v>0.0575723574</v>
      </c>
      <c r="I139" s="20">
        <f t="shared" si="14"/>
        <v>0.5937988188</v>
      </c>
    </row>
    <row r="140">
      <c r="A140" s="2" t="str">
        <f>Alternatif!A21</f>
        <v>A20</v>
      </c>
      <c r="B140" s="2" t="str">
        <f>Alternatif!B21</f>
        <v>Xiaomi 14 Pro</v>
      </c>
      <c r="C140" s="21">
        <f t="shared" si="8"/>
        <v>0.0196649477</v>
      </c>
      <c r="D140" s="21">
        <f t="shared" si="9"/>
        <v>0.1662238611</v>
      </c>
      <c r="E140" s="21">
        <f t="shared" si="10"/>
        <v>0.0445186615</v>
      </c>
      <c r="F140" s="21">
        <f t="shared" si="11"/>
        <v>0.1215229742</v>
      </c>
      <c r="G140" s="21">
        <f t="shared" si="12"/>
        <v>0.0508065329</v>
      </c>
      <c r="H140" s="21">
        <f t="shared" si="13"/>
        <v>0.0575723574</v>
      </c>
      <c r="I140" s="20">
        <f t="shared" si="14"/>
        <v>0.4603093348</v>
      </c>
    </row>
    <row r="141">
      <c r="A141" s="2" t="str">
        <f>Alternatif!A22</f>
        <v>A21</v>
      </c>
      <c r="B141" s="2" t="str">
        <f>Alternatif!B22</f>
        <v>Oppo Find X7</v>
      </c>
      <c r="C141" s="21">
        <f t="shared" si="8"/>
        <v>0.0262203672</v>
      </c>
      <c r="D141" s="21">
        <f t="shared" si="9"/>
        <v>0.1662238611</v>
      </c>
      <c r="E141" s="21">
        <f t="shared" si="10"/>
        <v>0.0445186615</v>
      </c>
      <c r="F141" s="21">
        <f t="shared" si="11"/>
        <v>0.1215229742</v>
      </c>
      <c r="G141" s="21">
        <f t="shared" si="12"/>
        <v>0.0513349812</v>
      </c>
      <c r="H141" s="21">
        <f t="shared" si="13"/>
        <v>0.0575723574</v>
      </c>
      <c r="I141" s="20">
        <f t="shared" si="14"/>
        <v>0.4673932026</v>
      </c>
    </row>
    <row r="142">
      <c r="A142" s="2" t="str">
        <f>Alternatif!A23</f>
        <v>A22</v>
      </c>
      <c r="B142" s="2" t="str">
        <f>Alternatif!B23</f>
        <v>Samsung Galaxy S23 Ultra</v>
      </c>
      <c r="C142" s="21">
        <f t="shared" si="8"/>
        <v>0.0201692029</v>
      </c>
      <c r="D142" s="21">
        <f t="shared" si="9"/>
        <v>0.1662238611</v>
      </c>
      <c r="E142" s="21">
        <f t="shared" si="10"/>
        <v>0.178074646</v>
      </c>
      <c r="F142" s="21">
        <f t="shared" si="11"/>
        <v>0.1215229742</v>
      </c>
      <c r="G142" s="21">
        <f t="shared" si="12"/>
        <v>0.0503535772</v>
      </c>
      <c r="H142" s="21">
        <f t="shared" si="13"/>
        <v>0.0575723574</v>
      </c>
      <c r="I142" s="20">
        <f t="shared" si="14"/>
        <v>0.5939166188</v>
      </c>
    </row>
    <row r="143">
      <c r="A143" s="2" t="str">
        <f>Alternatif!A24</f>
        <v>A23</v>
      </c>
      <c r="B143" s="2" t="str">
        <f>Alternatif!B24</f>
        <v>Xiaomi 13T Pro</v>
      </c>
      <c r="C143" s="21">
        <f t="shared" si="8"/>
        <v>0.0291339572</v>
      </c>
      <c r="D143" s="21">
        <f t="shared" si="9"/>
        <v>0.1662238611</v>
      </c>
      <c r="E143" s="21">
        <f t="shared" si="10"/>
        <v>0.0445186615</v>
      </c>
      <c r="F143" s="21">
        <f t="shared" si="11"/>
        <v>0.1215229742</v>
      </c>
      <c r="G143" s="21">
        <f t="shared" si="12"/>
        <v>0.0460504979</v>
      </c>
      <c r="H143" s="21">
        <f t="shared" si="13"/>
        <v>0.0575723574</v>
      </c>
      <c r="I143" s="20">
        <f t="shared" si="14"/>
        <v>0.4650223093</v>
      </c>
    </row>
    <row r="144">
      <c r="A144" s="2" t="str">
        <f>Alternatif!A25</f>
        <v>A24</v>
      </c>
      <c r="B144" s="2" t="str">
        <f>Alternatif!B25</f>
        <v>Oppo Find X8</v>
      </c>
      <c r="C144" s="21">
        <f t="shared" si="8"/>
        <v>0.0280933844</v>
      </c>
      <c r="D144" s="21">
        <f t="shared" si="9"/>
        <v>0.1662238611</v>
      </c>
      <c r="E144" s="21">
        <f t="shared" si="10"/>
        <v>0.0445186615</v>
      </c>
      <c r="F144" s="21">
        <f t="shared" si="11"/>
        <v>0.1368348689</v>
      </c>
      <c r="G144" s="21">
        <f t="shared" si="12"/>
        <v>0.0497496362</v>
      </c>
      <c r="H144" s="21">
        <f t="shared" si="13"/>
        <v>0.0575723574</v>
      </c>
      <c r="I144" s="20">
        <f t="shared" si="14"/>
        <v>0.4829927695</v>
      </c>
    </row>
    <row r="145">
      <c r="A145" s="2" t="str">
        <f>Alternatif!A26</f>
        <v>A25</v>
      </c>
      <c r="B145" s="2" t="str">
        <f>Alternatif!B26</f>
        <v>Oppo Find X8 Pro</v>
      </c>
      <c r="C145" s="21">
        <f t="shared" si="8"/>
        <v>0.0218500632</v>
      </c>
      <c r="D145" s="21">
        <f t="shared" si="9"/>
        <v>0.2216318148</v>
      </c>
      <c r="E145" s="21">
        <f t="shared" si="10"/>
        <v>0.0445186615</v>
      </c>
      <c r="F145" s="21">
        <f t="shared" si="11"/>
        <v>0.1436401555</v>
      </c>
      <c r="G145" s="21">
        <f t="shared" si="12"/>
        <v>0.051183996</v>
      </c>
      <c r="H145" s="21">
        <f t="shared" si="13"/>
        <v>0.1151447148</v>
      </c>
      <c r="I145" s="20">
        <f t="shared" si="14"/>
        <v>0.5979694058</v>
      </c>
    </row>
    <row r="146">
      <c r="A146" s="2" t="str">
        <f>Alternatif!A27</f>
        <v>A26</v>
      </c>
      <c r="B146" s="2" t="str">
        <f>Alternatif!B27</f>
        <v>Oppo Reno 12</v>
      </c>
      <c r="C146" s="21">
        <f t="shared" si="8"/>
        <v>0.0715183285</v>
      </c>
      <c r="D146" s="21">
        <f t="shared" si="9"/>
        <v>0.1108159074</v>
      </c>
      <c r="E146" s="21">
        <f t="shared" si="10"/>
        <v>0.0445186615</v>
      </c>
      <c r="F146" s="21">
        <f t="shared" si="11"/>
        <v>0.1215229742</v>
      </c>
      <c r="G146" s="21">
        <f t="shared" si="12"/>
        <v>0.050580055</v>
      </c>
      <c r="H146" s="21">
        <f t="shared" si="13"/>
        <v>0.0575723574</v>
      </c>
      <c r="I146" s="20">
        <f t="shared" si="14"/>
        <v>0.456528284</v>
      </c>
    </row>
    <row r="147">
      <c r="A147" s="2" t="str">
        <f>Alternatif!A28</f>
        <v>A27</v>
      </c>
      <c r="B147" s="2" t="str">
        <f>Alternatif!B28</f>
        <v>Oppo A78 5G</v>
      </c>
      <c r="C147" s="21">
        <f t="shared" si="8"/>
        <v>0.1311368083</v>
      </c>
      <c r="D147" s="21">
        <f t="shared" si="9"/>
        <v>0.1108159074</v>
      </c>
      <c r="E147" s="21">
        <f t="shared" si="10"/>
        <v>0.0445186615</v>
      </c>
      <c r="F147" s="21">
        <f t="shared" si="11"/>
        <v>0.1215229742</v>
      </c>
      <c r="G147" s="21">
        <f t="shared" si="12"/>
        <v>0.0495231584</v>
      </c>
      <c r="H147" s="21">
        <f t="shared" si="13"/>
        <v>0.0287861787</v>
      </c>
      <c r="I147" s="20">
        <f t="shared" si="14"/>
        <v>0.4863036885</v>
      </c>
    </row>
    <row r="148">
      <c r="A148" s="2" t="str">
        <f>Alternatif!A29</f>
        <v>A28</v>
      </c>
      <c r="B148" s="2" t="str">
        <f>Alternatif!B29</f>
        <v>Vivo V40 5G</v>
      </c>
      <c r="C148" s="21">
        <f t="shared" si="8"/>
        <v>0.0561907827</v>
      </c>
      <c r="D148" s="21">
        <f t="shared" si="9"/>
        <v>0.1662238611</v>
      </c>
      <c r="E148" s="21">
        <f t="shared" si="10"/>
        <v>0.0445186615</v>
      </c>
      <c r="F148" s="21">
        <f t="shared" si="11"/>
        <v>0.1336752716</v>
      </c>
      <c r="G148" s="21">
        <f t="shared" si="12"/>
        <v>0.051183996</v>
      </c>
      <c r="H148" s="21">
        <f t="shared" si="13"/>
        <v>0.0575723574</v>
      </c>
      <c r="I148" s="20">
        <f t="shared" si="14"/>
        <v>0.5093649303</v>
      </c>
    </row>
    <row r="149">
      <c r="A149" s="2" t="str">
        <f>Alternatif!A30</f>
        <v>A29</v>
      </c>
      <c r="B149" s="2" t="str">
        <f>Alternatif!B30</f>
        <v>Vivo V30 Pro</v>
      </c>
      <c r="C149" s="21">
        <f t="shared" si="8"/>
        <v>0.0480194491</v>
      </c>
      <c r="D149" s="21">
        <f t="shared" si="9"/>
        <v>0.1662238611</v>
      </c>
      <c r="E149" s="21">
        <f t="shared" si="10"/>
        <v>0.0445186615</v>
      </c>
      <c r="F149" s="21">
        <f t="shared" si="11"/>
        <v>0.1215229742</v>
      </c>
      <c r="G149" s="21">
        <f t="shared" si="12"/>
        <v>0.051183996</v>
      </c>
      <c r="H149" s="21">
        <f t="shared" si="13"/>
        <v>0.1151447148</v>
      </c>
      <c r="I149" s="20">
        <f t="shared" si="14"/>
        <v>0.5466136567</v>
      </c>
    </row>
    <row r="150">
      <c r="A150" s="2" t="str">
        <f>Alternatif!A31</f>
        <v>A30</v>
      </c>
      <c r="B150" s="2" t="str">
        <f>Alternatif!B31</f>
        <v>Vivo Y100 5G</v>
      </c>
      <c r="C150" s="21">
        <f t="shared" si="8"/>
        <v>0.1123976245</v>
      </c>
      <c r="D150" s="21">
        <f t="shared" si="9"/>
        <v>0.1108159074</v>
      </c>
      <c r="E150" s="21">
        <f t="shared" si="10"/>
        <v>0.0445186615</v>
      </c>
      <c r="F150" s="21">
        <f t="shared" si="11"/>
        <v>0.1215229742</v>
      </c>
      <c r="G150" s="21">
        <f t="shared" si="12"/>
        <v>0.0503535772</v>
      </c>
      <c r="H150" s="21">
        <f t="shared" si="13"/>
        <v>0.0575723574</v>
      </c>
      <c r="I150" s="20">
        <f t="shared" si="14"/>
        <v>0.4971811022</v>
      </c>
    </row>
    <row r="151">
      <c r="A151" s="2" t="str">
        <f>Alternatif!A32</f>
        <v>A31</v>
      </c>
      <c r="B151" s="2" t="str">
        <f>Alternatif!B32</f>
        <v>Realme 12 Pro Plus</v>
      </c>
      <c r="C151" s="21">
        <f t="shared" si="8"/>
        <v>0.065546548</v>
      </c>
      <c r="D151" s="21">
        <f t="shared" si="9"/>
        <v>0.1108159074</v>
      </c>
      <c r="E151" s="21">
        <f t="shared" si="10"/>
        <v>0.0445186615</v>
      </c>
      <c r="F151" s="21">
        <f t="shared" si="11"/>
        <v>0.1215229742</v>
      </c>
      <c r="G151" s="21">
        <f t="shared" si="12"/>
        <v>0.050580055</v>
      </c>
      <c r="H151" s="21">
        <f t="shared" si="13"/>
        <v>0.0575723574</v>
      </c>
      <c r="I151" s="20">
        <f t="shared" si="14"/>
        <v>0.4505565035</v>
      </c>
    </row>
    <row r="152">
      <c r="A152" s="2" t="str">
        <f>Alternatif!A33</f>
        <v>A32</v>
      </c>
      <c r="B152" s="2" t="str">
        <f>Alternatif!B33</f>
        <v>Realme 12 Plus 5G</v>
      </c>
      <c r="C152" s="21">
        <f t="shared" si="8"/>
        <v>0.0936602258</v>
      </c>
      <c r="D152" s="21">
        <f t="shared" si="9"/>
        <v>0.1108159074</v>
      </c>
      <c r="E152" s="21">
        <f t="shared" si="10"/>
        <v>0.0445186615</v>
      </c>
      <c r="F152" s="21">
        <f t="shared" si="11"/>
        <v>0.1215229742</v>
      </c>
      <c r="G152" s="21">
        <f t="shared" si="12"/>
        <v>0.0503535772</v>
      </c>
      <c r="H152" s="21">
        <f t="shared" si="13"/>
        <v>0.0575723574</v>
      </c>
      <c r="I152" s="20">
        <f t="shared" si="14"/>
        <v>0.4784437035</v>
      </c>
    </row>
    <row r="153">
      <c r="A153" s="2" t="str">
        <f>Alternatif!A34</f>
        <v>A33</v>
      </c>
      <c r="B153" s="2" t="str">
        <f>Alternatif!B34</f>
        <v>Realme C67</v>
      </c>
      <c r="C153" s="21">
        <f t="shared" si="8"/>
        <v>0.1513194645</v>
      </c>
      <c r="D153" s="21">
        <f t="shared" si="9"/>
        <v>0.1108159074</v>
      </c>
      <c r="E153" s="21">
        <f t="shared" si="10"/>
        <v>0.0961603088</v>
      </c>
      <c r="F153" s="21">
        <f t="shared" si="11"/>
        <v>0.1215229742</v>
      </c>
      <c r="G153" s="21">
        <f t="shared" si="12"/>
        <v>0.0507310403</v>
      </c>
      <c r="H153" s="21">
        <f t="shared" si="13"/>
        <v>0.0287861787</v>
      </c>
      <c r="I153" s="20">
        <f t="shared" si="14"/>
        <v>0.5593358739</v>
      </c>
    </row>
    <row r="154">
      <c r="A154" s="2" t="str">
        <f>Alternatif!A35</f>
        <v>A34</v>
      </c>
      <c r="B154" s="2" t="str">
        <f>Alternatif!B35</f>
        <v>Huawei Mate X6</v>
      </c>
      <c r="C154" s="21">
        <f t="shared" si="8"/>
        <v>0.0157318008</v>
      </c>
      <c r="D154" s="21">
        <f t="shared" si="9"/>
        <v>0.1662238611</v>
      </c>
      <c r="E154" s="21">
        <f t="shared" si="10"/>
        <v>0.0445186615</v>
      </c>
      <c r="F154" s="21">
        <f t="shared" si="11"/>
        <v>0.1241964796</v>
      </c>
      <c r="G154" s="21">
        <f t="shared" si="12"/>
        <v>0.0598656472</v>
      </c>
      <c r="H154" s="21">
        <f t="shared" si="13"/>
        <v>0.1151447148</v>
      </c>
      <c r="I154" s="20">
        <f t="shared" si="14"/>
        <v>0.525681165</v>
      </c>
    </row>
    <row r="155">
      <c r="A155" s="2" t="str">
        <f>Alternatif!A36</f>
        <v>A35</v>
      </c>
      <c r="B155" s="2" t="str">
        <f>Alternatif!B36</f>
        <v>Huawei Pura 70 Ultra</v>
      </c>
      <c r="C155" s="21">
        <f t="shared" si="8"/>
        <v>0.0219967162</v>
      </c>
      <c r="D155" s="21">
        <f t="shared" si="9"/>
        <v>0.2216318148</v>
      </c>
      <c r="E155" s="21">
        <f t="shared" si="10"/>
        <v>0.0445186615</v>
      </c>
      <c r="F155" s="21">
        <f t="shared" si="11"/>
        <v>0.1263838932</v>
      </c>
      <c r="G155" s="21">
        <f t="shared" si="12"/>
        <v>0.0513349812</v>
      </c>
      <c r="H155" s="21">
        <f t="shared" si="13"/>
        <v>0.1151447148</v>
      </c>
      <c r="I155" s="20">
        <f t="shared" si="14"/>
        <v>0.5810107817</v>
      </c>
    </row>
    <row r="156">
      <c r="A156" s="2" t="str">
        <f>Alternatif!A37</f>
        <v>A36</v>
      </c>
      <c r="B156" s="2" t="str">
        <f>Alternatif!B37</f>
        <v>Huawei P50 Pro</v>
      </c>
      <c r="C156" s="21">
        <f t="shared" si="8"/>
        <v>0.0302569079</v>
      </c>
      <c r="D156" s="21">
        <f t="shared" si="9"/>
        <v>0.1108159074</v>
      </c>
      <c r="E156" s="21">
        <f t="shared" si="10"/>
        <v>0.0569838867</v>
      </c>
      <c r="F156" s="21">
        <f t="shared" si="11"/>
        <v>0.1059680335</v>
      </c>
      <c r="G156" s="21">
        <f t="shared" si="12"/>
        <v>0.0498251288</v>
      </c>
      <c r="H156" s="21">
        <f t="shared" si="13"/>
        <v>0.0575723574</v>
      </c>
      <c r="I156" s="20">
        <f t="shared" si="14"/>
        <v>0.4114222217</v>
      </c>
    </row>
    <row r="157">
      <c r="A157" s="2" t="str">
        <f>Alternatif!A38</f>
        <v>A37</v>
      </c>
      <c r="B157" s="2" t="str">
        <f>Alternatif!B38</f>
        <v>Huawei Nova 9</v>
      </c>
      <c r="C157" s="21">
        <f t="shared" si="8"/>
        <v>0.0678184667</v>
      </c>
      <c r="D157" s="21">
        <f t="shared" si="9"/>
        <v>0.1108159074</v>
      </c>
      <c r="E157" s="21">
        <f t="shared" si="10"/>
        <v>0.0445186615</v>
      </c>
      <c r="F157" s="21">
        <f t="shared" si="11"/>
        <v>0.1045097578</v>
      </c>
      <c r="G157" s="21">
        <f t="shared" si="12"/>
        <v>0.049598651</v>
      </c>
      <c r="H157" s="21">
        <f t="shared" si="13"/>
        <v>0.0575723574</v>
      </c>
      <c r="I157" s="20">
        <f t="shared" si="14"/>
        <v>0.4348338018</v>
      </c>
    </row>
    <row r="158">
      <c r="A158" s="2" t="str">
        <f>Alternatif!A39</f>
        <v>A38</v>
      </c>
      <c r="B158" s="2" t="str">
        <f>Alternatif!B39</f>
        <v>Huawei Mate 40 Pro</v>
      </c>
      <c r="C158" s="21">
        <f t="shared" si="8"/>
        <v>0.034201173</v>
      </c>
      <c r="D158" s="21">
        <f t="shared" si="9"/>
        <v>0.1108159074</v>
      </c>
      <c r="E158" s="21">
        <f t="shared" si="10"/>
        <v>0.0445186615</v>
      </c>
      <c r="F158" s="21">
        <f t="shared" si="11"/>
        <v>0.1069402173</v>
      </c>
      <c r="G158" s="21">
        <f t="shared" si="12"/>
        <v>0.0510330108</v>
      </c>
      <c r="H158" s="21">
        <f t="shared" si="13"/>
        <v>0.0575723574</v>
      </c>
      <c r="I158" s="20">
        <f t="shared" si="14"/>
        <v>0.4050813274</v>
      </c>
    </row>
    <row r="159">
      <c r="A159" s="2" t="str">
        <f>Alternatif!A40</f>
        <v>A39</v>
      </c>
      <c r="B159" s="2" t="str">
        <f>Alternatif!B40</f>
        <v>Huawei Mate 30 Pro</v>
      </c>
      <c r="C159" s="21">
        <f t="shared" si="8"/>
        <v>0.0491660568</v>
      </c>
      <c r="D159" s="21">
        <f t="shared" si="9"/>
        <v>0.1108159074</v>
      </c>
      <c r="E159" s="21">
        <f t="shared" si="10"/>
        <v>0.0356149292</v>
      </c>
      <c r="F159" s="21">
        <f t="shared" si="11"/>
        <v>0.1093706768</v>
      </c>
      <c r="G159" s="21">
        <f t="shared" si="12"/>
        <v>0.0492966805</v>
      </c>
      <c r="H159" s="21">
        <f t="shared" si="13"/>
        <v>0.0575723574</v>
      </c>
      <c r="I159" s="20">
        <f t="shared" si="14"/>
        <v>0.4118366081</v>
      </c>
    </row>
    <row r="160">
      <c r="A160" s="2" t="str">
        <f>Alternatif!A41</f>
        <v>A40</v>
      </c>
      <c r="B160" s="2" t="str">
        <f>Alternatif!B41</f>
        <v>Huawei P40 Pro</v>
      </c>
      <c r="C160" s="21">
        <f t="shared" si="8"/>
        <v>0.0405484368</v>
      </c>
      <c r="D160" s="21">
        <f t="shared" si="9"/>
        <v>0.1108159074</v>
      </c>
      <c r="E160" s="21">
        <f t="shared" si="10"/>
        <v>0.0445186615</v>
      </c>
      <c r="F160" s="21">
        <f t="shared" si="11"/>
        <v>0.1020792983</v>
      </c>
      <c r="G160" s="21">
        <f t="shared" si="12"/>
        <v>0.0496741436</v>
      </c>
      <c r="H160" s="21">
        <f t="shared" si="13"/>
        <v>0.0575723574</v>
      </c>
      <c r="I160" s="20">
        <f t="shared" si="14"/>
        <v>0.405208805</v>
      </c>
    </row>
    <row r="161">
      <c r="A161" s="2" t="str">
        <f>Alternatif!A42</f>
        <v>A41</v>
      </c>
      <c r="B161" s="2" t="str">
        <f>Alternatif!B42</f>
        <v>Huawei Mate Xs</v>
      </c>
      <c r="C161" s="21">
        <f t="shared" si="8"/>
        <v>0.0095921778</v>
      </c>
      <c r="D161" s="21">
        <f t="shared" si="9"/>
        <v>0.1108159074</v>
      </c>
      <c r="E161" s="21">
        <f t="shared" si="10"/>
        <v>0.0356149292</v>
      </c>
      <c r="F161" s="21">
        <f t="shared" si="11"/>
        <v>0.1093706768</v>
      </c>
      <c r="G161" s="21">
        <f t="shared" si="12"/>
        <v>0.0603940956</v>
      </c>
      <c r="H161" s="21">
        <f t="shared" si="13"/>
        <v>0.1151447148</v>
      </c>
      <c r="I161" s="20">
        <f t="shared" si="14"/>
        <v>0.4409325016</v>
      </c>
    </row>
    <row r="162">
      <c r="A162" s="2" t="str">
        <f>Alternatif!A43</f>
        <v>A42</v>
      </c>
      <c r="B162" s="2" t="str">
        <f>Alternatif!B43</f>
        <v>Samsung Galaxy Z Flip7</v>
      </c>
      <c r="C162" s="21">
        <f t="shared" si="8"/>
        <v>0.023836553</v>
      </c>
      <c r="D162" s="21">
        <f t="shared" si="9"/>
        <v>0.1662238611</v>
      </c>
      <c r="E162" s="21">
        <f t="shared" si="10"/>
        <v>0.0445186615</v>
      </c>
      <c r="F162" s="21">
        <f t="shared" si="11"/>
        <v>0.0972183794</v>
      </c>
      <c r="G162" s="21">
        <f t="shared" si="12"/>
        <v>0.050580055</v>
      </c>
      <c r="H162" s="21">
        <f t="shared" si="13"/>
        <v>0.0575723574</v>
      </c>
      <c r="I162" s="20">
        <f t="shared" si="14"/>
        <v>0.4399498674</v>
      </c>
    </row>
    <row r="163">
      <c r="A163" s="2" t="str">
        <f>Alternatif!A44</f>
        <v>A43</v>
      </c>
      <c r="B163" s="2" t="str">
        <f>Alternatif!B44</f>
        <v>Samsung Galaxy A17 5G</v>
      </c>
      <c r="C163" s="21">
        <f t="shared" si="8"/>
        <v>0.1092746008</v>
      </c>
      <c r="D163" s="21">
        <f t="shared" si="9"/>
        <v>0.1108159074</v>
      </c>
      <c r="E163" s="21">
        <f t="shared" si="10"/>
        <v>0.0445186615</v>
      </c>
      <c r="F163" s="21">
        <f t="shared" si="11"/>
        <v>0.1215229742</v>
      </c>
      <c r="G163" s="21">
        <f t="shared" si="12"/>
        <v>0.050580055</v>
      </c>
      <c r="H163" s="21">
        <f t="shared" si="13"/>
        <v>0.0575723574</v>
      </c>
      <c r="I163" s="20">
        <f t="shared" si="14"/>
        <v>0.4942845563</v>
      </c>
    </row>
    <row r="164">
      <c r="A164" s="2" t="str">
        <f>Alternatif!A45</f>
        <v>A44</v>
      </c>
      <c r="B164" s="2" t="str">
        <f>Alternatif!B45</f>
        <v>Samsung Galaxy S25</v>
      </c>
      <c r="C164" s="21">
        <f t="shared" si="8"/>
        <v>0.0314648602</v>
      </c>
      <c r="D164" s="21">
        <f t="shared" si="9"/>
        <v>0.1662238611</v>
      </c>
      <c r="E164" s="21">
        <f t="shared" si="10"/>
        <v>0.0445186615</v>
      </c>
      <c r="F164" s="21">
        <f t="shared" si="11"/>
        <v>0.0984336091</v>
      </c>
      <c r="G164" s="21">
        <f t="shared" si="12"/>
        <v>0.0468054241</v>
      </c>
      <c r="H164" s="21">
        <f t="shared" si="13"/>
        <v>0.0575723574</v>
      </c>
      <c r="I164" s="20">
        <f t="shared" si="14"/>
        <v>0.4450187734</v>
      </c>
    </row>
    <row r="165">
      <c r="A165" s="2" t="str">
        <f>Alternatif!A46</f>
        <v>A45</v>
      </c>
      <c r="B165" s="2" t="str">
        <f>Alternatif!B46</f>
        <v>Infinix Hot 50 5G</v>
      </c>
      <c r="C165" s="21">
        <f t="shared" si="8"/>
        <v>0.180411619</v>
      </c>
      <c r="D165" s="21">
        <f t="shared" si="9"/>
        <v>0.1108159074</v>
      </c>
      <c r="E165" s="21">
        <f t="shared" si="10"/>
        <v>0.042737915</v>
      </c>
      <c r="F165" s="21">
        <f t="shared" si="11"/>
        <v>0.1215229742</v>
      </c>
      <c r="G165" s="21">
        <f t="shared" si="12"/>
        <v>0.050580055</v>
      </c>
      <c r="H165" s="21">
        <f t="shared" si="13"/>
        <v>0.0575723574</v>
      </c>
      <c r="I165" s="20">
        <f t="shared" si="14"/>
        <v>0.563640828</v>
      </c>
    </row>
    <row r="166">
      <c r="A166" s="2" t="str">
        <f>Alternatif!A47</f>
        <v>A46</v>
      </c>
      <c r="B166" s="2" t="str">
        <f>Alternatif!B47</f>
        <v>Infinix Hot 60 Pro</v>
      </c>
      <c r="C166" s="21">
        <f t="shared" si="8"/>
        <v>0.1737099329</v>
      </c>
      <c r="D166" s="21">
        <f t="shared" si="9"/>
        <v>0.1108159074</v>
      </c>
      <c r="E166" s="21">
        <f t="shared" si="10"/>
        <v>0.0445186615</v>
      </c>
      <c r="F166" s="21">
        <f t="shared" si="11"/>
        <v>0.1254117094</v>
      </c>
      <c r="G166" s="21">
        <f t="shared" si="12"/>
        <v>0.051183996</v>
      </c>
      <c r="H166" s="21">
        <f t="shared" si="13"/>
        <v>0.0575723574</v>
      </c>
      <c r="I166" s="20">
        <f t="shared" si="14"/>
        <v>0.5632125646</v>
      </c>
    </row>
    <row r="167">
      <c r="A167" s="2" t="str">
        <f>Alternatif!A48</f>
        <v>A47</v>
      </c>
      <c r="B167" s="2" t="str">
        <f>Alternatif!B48</f>
        <v>Infinix GT 30 Pro</v>
      </c>
      <c r="C167" s="21">
        <f t="shared" si="8"/>
        <v>0.089401975</v>
      </c>
      <c r="D167" s="21">
        <f t="shared" si="9"/>
        <v>0.1662238611</v>
      </c>
      <c r="E167" s="21">
        <f t="shared" si="10"/>
        <v>0.0961603088</v>
      </c>
      <c r="F167" s="21">
        <f t="shared" si="11"/>
        <v>0.1263838932</v>
      </c>
      <c r="G167" s="21">
        <f t="shared" si="12"/>
        <v>0.051183996</v>
      </c>
      <c r="H167" s="21">
        <f t="shared" si="13"/>
        <v>0.1151447148</v>
      </c>
      <c r="I167" s="20">
        <f t="shared" si="14"/>
        <v>0.6444987489</v>
      </c>
    </row>
    <row r="168">
      <c r="A168" s="2" t="str">
        <f>Alternatif!A49</f>
        <v>A48</v>
      </c>
      <c r="B168" s="2" t="str">
        <f>Alternatif!B49</f>
        <v>Infinix Hot 60i</v>
      </c>
      <c r="C168" s="21">
        <f t="shared" si="8"/>
        <v>0.2274605484</v>
      </c>
      <c r="D168" s="21">
        <f t="shared" si="9"/>
        <v>0.1108159074</v>
      </c>
      <c r="E168" s="21">
        <f t="shared" si="10"/>
        <v>0.0445186615</v>
      </c>
      <c r="F168" s="21">
        <f t="shared" si="11"/>
        <v>0.1254117094</v>
      </c>
      <c r="G168" s="21">
        <f t="shared" si="12"/>
        <v>0.050580055</v>
      </c>
      <c r="H168" s="21">
        <f t="shared" si="13"/>
        <v>0.0575723574</v>
      </c>
      <c r="I168" s="20">
        <f t="shared" si="14"/>
        <v>0.6163592391</v>
      </c>
    </row>
    <row r="169">
      <c r="A169" s="2" t="str">
        <f>Alternatif!A50</f>
        <v>A49</v>
      </c>
      <c r="B169" s="2" t="str">
        <f>Alternatif!B50</f>
        <v>Realme Narzo 60</v>
      </c>
      <c r="C169" s="21">
        <f t="shared" si="8"/>
        <v>0.1229381957</v>
      </c>
      <c r="D169" s="21">
        <f t="shared" si="9"/>
        <v>0.0831119305</v>
      </c>
      <c r="E169" s="21">
        <f t="shared" si="10"/>
        <v>0.0445186615</v>
      </c>
      <c r="F169" s="21">
        <f t="shared" si="11"/>
        <v>0.1215229742</v>
      </c>
      <c r="G169" s="21">
        <f t="shared" si="12"/>
        <v>0.0498251288</v>
      </c>
      <c r="H169" s="21">
        <f t="shared" si="13"/>
        <v>0.0287861787</v>
      </c>
      <c r="I169" s="20">
        <f t="shared" si="14"/>
        <v>0.4507030694</v>
      </c>
    </row>
    <row r="170">
      <c r="A170" s="2" t="str">
        <f>Alternatif!A51</f>
        <v>A50</v>
      </c>
      <c r="B170" s="2" t="str">
        <f>Alternatif!B51</f>
        <v>Infinix Note 20</v>
      </c>
      <c r="C170" s="21">
        <f t="shared" si="8"/>
        <v>0.1457129634</v>
      </c>
      <c r="D170" s="21">
        <f t="shared" si="9"/>
        <v>0.1108159074</v>
      </c>
      <c r="E170" s="21">
        <f t="shared" si="10"/>
        <v>0.0569838867</v>
      </c>
      <c r="F170" s="21">
        <f t="shared" si="11"/>
        <v>0.1263838932</v>
      </c>
      <c r="G170" s="21">
        <f t="shared" si="12"/>
        <v>0.051183996</v>
      </c>
      <c r="H170" s="21">
        <f t="shared" si="13"/>
        <v>0.0575723574</v>
      </c>
      <c r="I170" s="20">
        <f t="shared" si="14"/>
        <v>0.5486530041</v>
      </c>
    </row>
    <row r="172">
      <c r="A172" s="3" t="s">
        <v>144</v>
      </c>
      <c r="B172" s="11"/>
      <c r="C172" s="11"/>
      <c r="D172" s="4"/>
    </row>
    <row r="173">
      <c r="A173" s="1" t="s">
        <v>109</v>
      </c>
      <c r="B173" s="1" t="s">
        <v>110</v>
      </c>
      <c r="C173" s="1" t="s">
        <v>145</v>
      </c>
      <c r="D173" s="1" t="s">
        <v>146</v>
      </c>
      <c r="E173" s="22"/>
      <c r="F173" s="22"/>
      <c r="G173" s="22"/>
      <c r="H173" s="22"/>
    </row>
    <row r="174">
      <c r="A174" s="2" t="str">
        <f>Alternatif!A2</f>
        <v>A01</v>
      </c>
      <c r="B174" s="2" t="str">
        <f>Alternatif!B2</f>
        <v>Samsung Galaxy Z Flip 5</v>
      </c>
      <c r="C174" s="21">
        <f t="shared" ref="C174:C223" si="15">I121</f>
        <v>0.4017321124</v>
      </c>
      <c r="D174" s="21">
        <f t="shared" ref="D174:D223" si="16">_xlfn.RANK.EQ(C174,$C$174:$C$223)</f>
        <v>49</v>
      </c>
      <c r="E174" s="23"/>
      <c r="F174" s="23"/>
      <c r="G174" s="23"/>
      <c r="H174" s="23"/>
    </row>
    <row r="175">
      <c r="A175" s="2" t="str">
        <f>Alternatif!A3</f>
        <v>A02</v>
      </c>
      <c r="B175" s="2" t="str">
        <f>Alternatif!B3</f>
        <v>Xiaomi 14 Ultra</v>
      </c>
      <c r="C175" s="21">
        <f t="shared" si="15"/>
        <v>0.5375446733</v>
      </c>
      <c r="D175" s="21">
        <f t="shared" si="16"/>
        <v>16</v>
      </c>
      <c r="E175" s="23"/>
      <c r="F175" s="23"/>
      <c r="G175" s="23"/>
      <c r="H175" s="23"/>
    </row>
    <row r="176">
      <c r="A176" s="2" t="str">
        <f>Alternatif!A4</f>
        <v>A03</v>
      </c>
      <c r="B176" s="2" t="str">
        <f>Alternatif!B4</f>
        <v>Poco F6</v>
      </c>
      <c r="C176" s="21">
        <f t="shared" si="15"/>
        <v>0.47833502</v>
      </c>
      <c r="D176" s="21">
        <f t="shared" si="16"/>
        <v>31</v>
      </c>
      <c r="E176" s="23"/>
      <c r="F176" s="23"/>
      <c r="G176" s="23"/>
      <c r="H176" s="23"/>
    </row>
    <row r="177">
      <c r="A177" s="2" t="str">
        <f>Alternatif!A5</f>
        <v>A04</v>
      </c>
      <c r="B177" s="2" t="str">
        <f>Alternatif!B5</f>
        <v>Samsung Galaxy S24 Ultra</v>
      </c>
      <c r="C177" s="21">
        <f t="shared" si="15"/>
        <v>0.6501783212</v>
      </c>
      <c r="D177" s="21">
        <f t="shared" si="16"/>
        <v>1</v>
      </c>
      <c r="E177" s="23"/>
      <c r="F177" s="23"/>
      <c r="G177" s="23"/>
      <c r="H177" s="23"/>
    </row>
    <row r="178">
      <c r="A178" s="2" t="str">
        <f>Alternatif!A6</f>
        <v>A05</v>
      </c>
      <c r="B178" s="2" t="str">
        <f>Alternatif!B6</f>
        <v>Samsung Galaxy S24</v>
      </c>
      <c r="C178" s="21">
        <f t="shared" si="15"/>
        <v>0.383151097</v>
      </c>
      <c r="D178" s="21">
        <f t="shared" si="16"/>
        <v>50</v>
      </c>
      <c r="E178" s="23"/>
      <c r="F178" s="23"/>
      <c r="G178" s="23"/>
      <c r="H178" s="23"/>
    </row>
    <row r="179">
      <c r="A179" s="2" t="str">
        <f>Alternatif!A7</f>
        <v>A06</v>
      </c>
      <c r="B179" s="2" t="str">
        <f>Alternatif!B7</f>
        <v>Samsung Galaxy Z Fold 5</v>
      </c>
      <c r="C179" s="21">
        <f t="shared" si="15"/>
        <v>0.5132659245</v>
      </c>
      <c r="D179" s="21">
        <f t="shared" si="16"/>
        <v>18</v>
      </c>
      <c r="E179" s="23"/>
      <c r="F179" s="23"/>
      <c r="G179" s="23"/>
      <c r="H179" s="23"/>
    </row>
    <row r="180">
      <c r="A180" s="2" t="str">
        <f>Alternatif!A8</f>
        <v>A07</v>
      </c>
      <c r="B180" s="2" t="str">
        <f>Alternatif!B8</f>
        <v>Samsung Galaxy A54 5G</v>
      </c>
      <c r="C180" s="21">
        <f t="shared" si="15"/>
        <v>0.449517881</v>
      </c>
      <c r="D180" s="21">
        <f t="shared" si="16"/>
        <v>39</v>
      </c>
      <c r="E180" s="23"/>
      <c r="F180" s="23"/>
      <c r="G180" s="23"/>
      <c r="H180" s="23"/>
    </row>
    <row r="181">
      <c r="A181" s="2" t="str">
        <f>Alternatif!A9</f>
        <v>A08</v>
      </c>
      <c r="B181" s="2" t="str">
        <f>Alternatif!B9</f>
        <v>Samsung Galaxy A34 5G</v>
      </c>
      <c r="C181" s="21">
        <f t="shared" si="15"/>
        <v>0.4615233379</v>
      </c>
      <c r="D181" s="21">
        <f t="shared" si="16"/>
        <v>34</v>
      </c>
      <c r="E181" s="23"/>
      <c r="F181" s="23"/>
      <c r="G181" s="23"/>
      <c r="H181" s="23"/>
    </row>
    <row r="182">
      <c r="A182" s="2" t="str">
        <f>Alternatif!A10</f>
        <v>A09</v>
      </c>
      <c r="B182" s="2" t="str">
        <f>Alternatif!B10</f>
        <v>Samsung Galaxy A24</v>
      </c>
      <c r="C182" s="21">
        <f t="shared" si="15"/>
        <v>0.4903742515</v>
      </c>
      <c r="D182" s="21">
        <f t="shared" si="16"/>
        <v>25</v>
      </c>
      <c r="E182" s="23"/>
      <c r="F182" s="23"/>
      <c r="G182" s="23"/>
      <c r="H182" s="23"/>
    </row>
    <row r="183">
      <c r="A183" s="2" t="str">
        <f>Alternatif!A11</f>
        <v>A10</v>
      </c>
      <c r="B183" s="2" t="str">
        <f>Alternatif!B11</f>
        <v>Samsung Galaxy A15 5G</v>
      </c>
      <c r="C183" s="21">
        <f t="shared" si="15"/>
        <v>0.4927747039</v>
      </c>
      <c r="D183" s="21">
        <f t="shared" si="16"/>
        <v>24</v>
      </c>
      <c r="E183" s="23"/>
      <c r="F183" s="23"/>
      <c r="G183" s="23"/>
      <c r="H183" s="23"/>
    </row>
    <row r="184">
      <c r="A184" s="2" t="str">
        <f>Alternatif!A12</f>
        <v>A11</v>
      </c>
      <c r="B184" s="2" t="str">
        <f>Alternatif!B12</f>
        <v>Xiaomi 14T Pro</v>
      </c>
      <c r="C184" s="21">
        <f t="shared" si="15"/>
        <v>0.4877557492</v>
      </c>
      <c r="D184" s="21">
        <f t="shared" si="16"/>
        <v>27</v>
      </c>
      <c r="E184" s="23"/>
      <c r="F184" s="23"/>
      <c r="G184" s="23"/>
      <c r="H184" s="23"/>
    </row>
    <row r="185">
      <c r="A185" s="2" t="str">
        <f>Alternatif!A13</f>
        <v>A12</v>
      </c>
      <c r="B185" s="2" t="str">
        <f>Alternatif!B13</f>
        <v>Xiaomi 14T</v>
      </c>
      <c r="C185" s="21">
        <f t="shared" si="15"/>
        <v>0.4452972934</v>
      </c>
      <c r="D185" s="21">
        <f t="shared" si="16"/>
        <v>40</v>
      </c>
      <c r="E185" s="23"/>
      <c r="F185" s="23"/>
      <c r="G185" s="23"/>
      <c r="H185" s="23"/>
    </row>
    <row r="186">
      <c r="A186" s="2" t="str">
        <f>Alternatif!A14</f>
        <v>A13</v>
      </c>
      <c r="B186" s="2" t="str">
        <f>Alternatif!B14</f>
        <v>Redmi Note 13 Pro 5G</v>
      </c>
      <c r="C186" s="21">
        <f t="shared" si="15"/>
        <v>0.6122302213</v>
      </c>
      <c r="D186" s="21">
        <f t="shared" si="16"/>
        <v>5</v>
      </c>
      <c r="E186" s="23"/>
      <c r="F186" s="23"/>
      <c r="G186" s="23"/>
      <c r="H186" s="23"/>
    </row>
    <row r="187">
      <c r="A187" s="2" t="str">
        <f>Alternatif!A15</f>
        <v>A14</v>
      </c>
      <c r="B187" s="2" t="str">
        <f>Alternatif!B15</f>
        <v>Redmi Note 13 5G</v>
      </c>
      <c r="C187" s="21">
        <f t="shared" si="15"/>
        <v>0.499146636</v>
      </c>
      <c r="D187" s="21">
        <f t="shared" si="16"/>
        <v>20</v>
      </c>
      <c r="E187" s="23"/>
      <c r="F187" s="23"/>
      <c r="G187" s="23"/>
      <c r="H187" s="23"/>
    </row>
    <row r="188">
      <c r="A188" s="2" t="str">
        <f>Alternatif!A16</f>
        <v>A15</v>
      </c>
      <c r="B188" s="2" t="str">
        <f>Alternatif!B16</f>
        <v>Redmi 14C</v>
      </c>
      <c r="C188" s="21">
        <f t="shared" si="15"/>
        <v>0.607910747</v>
      </c>
      <c r="D188" s="21">
        <f t="shared" si="16"/>
        <v>6</v>
      </c>
      <c r="E188" s="23"/>
      <c r="F188" s="23"/>
      <c r="G188" s="23"/>
      <c r="H188" s="23"/>
    </row>
    <row r="189">
      <c r="A189" s="2" t="str">
        <f>Alternatif!A17</f>
        <v>A16</v>
      </c>
      <c r="B189" s="2" t="str">
        <f>Alternatif!B17</f>
        <v>Poco X6 Pro 5G</v>
      </c>
      <c r="C189" s="21">
        <f t="shared" si="15"/>
        <v>0.488164615</v>
      </c>
      <c r="D189" s="21">
        <f t="shared" si="16"/>
        <v>26</v>
      </c>
      <c r="E189" s="23"/>
      <c r="F189" s="23"/>
      <c r="G189" s="23"/>
      <c r="H189" s="23"/>
    </row>
    <row r="190">
      <c r="A190" s="2" t="str">
        <f>Alternatif!A18</f>
        <v>A17</v>
      </c>
      <c r="B190" s="2" t="str">
        <f>Alternatif!B18</f>
        <v>Poco X6 5G</v>
      </c>
      <c r="C190" s="21">
        <f t="shared" si="15"/>
        <v>0.4980235706</v>
      </c>
      <c r="D190" s="21">
        <f t="shared" si="16"/>
        <v>21</v>
      </c>
      <c r="E190" s="23"/>
      <c r="F190" s="23"/>
      <c r="G190" s="23"/>
      <c r="H190" s="23"/>
    </row>
    <row r="191">
      <c r="A191" s="2" t="str">
        <f>Alternatif!A19</f>
        <v>A18</v>
      </c>
      <c r="B191" s="2" t="str">
        <f>Alternatif!B19</f>
        <v>Poco C75</v>
      </c>
      <c r="C191" s="21">
        <f t="shared" si="15"/>
        <v>0.6436681544</v>
      </c>
      <c r="D191" s="21">
        <f t="shared" si="16"/>
        <v>3</v>
      </c>
      <c r="E191" s="23"/>
      <c r="F191" s="23"/>
      <c r="G191" s="23"/>
      <c r="H191" s="23"/>
    </row>
    <row r="192">
      <c r="A192" s="2" t="str">
        <f>Alternatif!A20</f>
        <v>A19</v>
      </c>
      <c r="B192" s="2" t="str">
        <f>Alternatif!B20</f>
        <v>Samsung Galaxy S25 Ultra</v>
      </c>
      <c r="C192" s="21">
        <f t="shared" si="15"/>
        <v>0.5937988188</v>
      </c>
      <c r="D192" s="21">
        <f t="shared" si="16"/>
        <v>9</v>
      </c>
      <c r="E192" s="23"/>
      <c r="F192" s="23"/>
      <c r="G192" s="23"/>
      <c r="H192" s="23"/>
    </row>
    <row r="193">
      <c r="A193" s="2" t="str">
        <f>Alternatif!A21</f>
        <v>A20</v>
      </c>
      <c r="B193" s="2" t="str">
        <f>Alternatif!B21</f>
        <v>Xiaomi 14 Pro</v>
      </c>
      <c r="C193" s="21">
        <f t="shared" si="15"/>
        <v>0.4603093348</v>
      </c>
      <c r="D193" s="21">
        <f t="shared" si="16"/>
        <v>35</v>
      </c>
      <c r="E193" s="23"/>
      <c r="F193" s="23"/>
      <c r="G193" s="23"/>
      <c r="H193" s="23"/>
    </row>
    <row r="194">
      <c r="A194" s="2" t="str">
        <f>Alternatif!A22</f>
        <v>A21</v>
      </c>
      <c r="B194" s="2" t="str">
        <f>Alternatif!B22</f>
        <v>Oppo Find X7</v>
      </c>
      <c r="C194" s="21">
        <f t="shared" si="15"/>
        <v>0.4673932026</v>
      </c>
      <c r="D194" s="21">
        <f t="shared" si="16"/>
        <v>32</v>
      </c>
      <c r="E194" s="23"/>
      <c r="F194" s="23"/>
      <c r="G194" s="23"/>
      <c r="H194" s="23"/>
    </row>
    <row r="195">
      <c r="A195" s="2" t="str">
        <f>Alternatif!A23</f>
        <v>A22</v>
      </c>
      <c r="B195" s="2" t="str">
        <f>Alternatif!B23</f>
        <v>Samsung Galaxy S23 Ultra</v>
      </c>
      <c r="C195" s="21">
        <f t="shared" si="15"/>
        <v>0.5939166188</v>
      </c>
      <c r="D195" s="21">
        <f t="shared" si="16"/>
        <v>8</v>
      </c>
      <c r="E195" s="23"/>
      <c r="F195" s="23"/>
      <c r="G195" s="23"/>
      <c r="H195" s="23"/>
    </row>
    <row r="196">
      <c r="A196" s="2" t="str">
        <f>Alternatif!A24</f>
        <v>A23</v>
      </c>
      <c r="B196" s="2" t="str">
        <f>Alternatif!B24</f>
        <v>Xiaomi 13T Pro</v>
      </c>
      <c r="C196" s="21">
        <f t="shared" si="15"/>
        <v>0.4650223093</v>
      </c>
      <c r="D196" s="21">
        <f t="shared" si="16"/>
        <v>33</v>
      </c>
      <c r="E196" s="23"/>
      <c r="F196" s="23"/>
      <c r="G196" s="23"/>
      <c r="H196" s="23"/>
    </row>
    <row r="197">
      <c r="A197" s="2" t="str">
        <f>Alternatif!A25</f>
        <v>A24</v>
      </c>
      <c r="B197" s="2" t="str">
        <f>Alternatif!B25</f>
        <v>Oppo Find X8</v>
      </c>
      <c r="C197" s="21">
        <f t="shared" si="15"/>
        <v>0.4829927695</v>
      </c>
      <c r="D197" s="21">
        <f t="shared" si="16"/>
        <v>29</v>
      </c>
      <c r="E197" s="23"/>
      <c r="F197" s="23"/>
      <c r="G197" s="23"/>
      <c r="H197" s="23"/>
    </row>
    <row r="198">
      <c r="A198" s="2" t="str">
        <f>Alternatif!A26</f>
        <v>A25</v>
      </c>
      <c r="B198" s="2" t="str">
        <f>Alternatif!B26</f>
        <v>Oppo Find X8 Pro</v>
      </c>
      <c r="C198" s="21">
        <f t="shared" si="15"/>
        <v>0.5979694058</v>
      </c>
      <c r="D198" s="21">
        <f t="shared" si="16"/>
        <v>7</v>
      </c>
      <c r="E198" s="23"/>
      <c r="F198" s="23"/>
      <c r="G198" s="23"/>
      <c r="H198" s="23"/>
    </row>
    <row r="199">
      <c r="A199" s="2" t="str">
        <f>Alternatif!A27</f>
        <v>A26</v>
      </c>
      <c r="B199" s="2" t="str">
        <f>Alternatif!B27</f>
        <v>Oppo Reno 12</v>
      </c>
      <c r="C199" s="21">
        <f t="shared" si="15"/>
        <v>0.456528284</v>
      </c>
      <c r="D199" s="21">
        <f t="shared" si="16"/>
        <v>36</v>
      </c>
      <c r="E199" s="23"/>
      <c r="F199" s="23"/>
      <c r="G199" s="23"/>
      <c r="H199" s="23"/>
    </row>
    <row r="200">
      <c r="A200" s="2" t="str">
        <f>Alternatif!A28</f>
        <v>A27</v>
      </c>
      <c r="B200" s="2" t="str">
        <f>Alternatif!B28</f>
        <v>Oppo A78 5G</v>
      </c>
      <c r="C200" s="21">
        <f t="shared" si="15"/>
        <v>0.4863036885</v>
      </c>
      <c r="D200" s="21">
        <f t="shared" si="16"/>
        <v>28</v>
      </c>
      <c r="E200" s="23"/>
      <c r="F200" s="23"/>
      <c r="G200" s="23"/>
      <c r="H200" s="23"/>
    </row>
    <row r="201">
      <c r="A201" s="2" t="str">
        <f>Alternatif!A29</f>
        <v>A28</v>
      </c>
      <c r="B201" s="2" t="str">
        <f>Alternatif!B29</f>
        <v>Vivo V40 5G</v>
      </c>
      <c r="C201" s="21">
        <f t="shared" si="15"/>
        <v>0.5093649303</v>
      </c>
      <c r="D201" s="21">
        <f t="shared" si="16"/>
        <v>19</v>
      </c>
      <c r="E201" s="23"/>
      <c r="F201" s="23"/>
      <c r="G201" s="23"/>
      <c r="H201" s="23"/>
    </row>
    <row r="202">
      <c r="A202" s="2" t="str">
        <f>Alternatif!A30</f>
        <v>A29</v>
      </c>
      <c r="B202" s="2" t="str">
        <f>Alternatif!B30</f>
        <v>Vivo V30 Pro</v>
      </c>
      <c r="C202" s="21">
        <f t="shared" si="15"/>
        <v>0.5466136567</v>
      </c>
      <c r="D202" s="21">
        <f t="shared" si="16"/>
        <v>15</v>
      </c>
      <c r="E202" s="23"/>
      <c r="F202" s="23"/>
      <c r="G202" s="23"/>
      <c r="H202" s="23"/>
    </row>
    <row r="203">
      <c r="A203" s="2" t="str">
        <f>Alternatif!A31</f>
        <v>A30</v>
      </c>
      <c r="B203" s="2" t="str">
        <f>Alternatif!B31</f>
        <v>Vivo Y100 5G</v>
      </c>
      <c r="C203" s="21">
        <f t="shared" si="15"/>
        <v>0.4971811022</v>
      </c>
      <c r="D203" s="21">
        <f t="shared" si="16"/>
        <v>22</v>
      </c>
      <c r="E203" s="23"/>
      <c r="F203" s="23"/>
      <c r="G203" s="23"/>
      <c r="H203" s="23"/>
    </row>
    <row r="204">
      <c r="A204" s="2" t="str">
        <f>Alternatif!A32</f>
        <v>A31</v>
      </c>
      <c r="B204" s="2" t="str">
        <f>Alternatif!B32</f>
        <v>Realme 12 Pro Plus</v>
      </c>
      <c r="C204" s="21">
        <f t="shared" si="15"/>
        <v>0.4505565035</v>
      </c>
      <c r="D204" s="21">
        <f t="shared" si="16"/>
        <v>38</v>
      </c>
      <c r="E204" s="23"/>
      <c r="F204" s="23"/>
      <c r="G204" s="23"/>
      <c r="H204" s="23"/>
    </row>
    <row r="205">
      <c r="A205" s="2" t="str">
        <f>Alternatif!A33</f>
        <v>A32</v>
      </c>
      <c r="B205" s="2" t="str">
        <f>Alternatif!B33</f>
        <v>Realme 12 Plus 5G</v>
      </c>
      <c r="C205" s="21">
        <f t="shared" si="15"/>
        <v>0.4784437035</v>
      </c>
      <c r="D205" s="21">
        <f t="shared" si="16"/>
        <v>30</v>
      </c>
      <c r="E205" s="23"/>
      <c r="F205" s="23"/>
      <c r="G205" s="23"/>
      <c r="H205" s="23"/>
    </row>
    <row r="206">
      <c r="A206" s="2" t="str">
        <f>Alternatif!A34</f>
        <v>A33</v>
      </c>
      <c r="B206" s="2" t="str">
        <f>Alternatif!B34</f>
        <v>Realme C67</v>
      </c>
      <c r="C206" s="21">
        <f t="shared" si="15"/>
        <v>0.5593358739</v>
      </c>
      <c r="D206" s="21">
        <f t="shared" si="16"/>
        <v>13</v>
      </c>
      <c r="E206" s="23"/>
      <c r="F206" s="23"/>
      <c r="G206" s="23"/>
      <c r="H206" s="23"/>
    </row>
    <row r="207">
      <c r="A207" s="2" t="str">
        <f>Alternatif!A35</f>
        <v>A34</v>
      </c>
      <c r="B207" s="2" t="str">
        <f>Alternatif!B35</f>
        <v>Huawei Mate X6</v>
      </c>
      <c r="C207" s="21">
        <f t="shared" si="15"/>
        <v>0.525681165</v>
      </c>
      <c r="D207" s="21">
        <f t="shared" si="16"/>
        <v>17</v>
      </c>
      <c r="E207" s="23"/>
      <c r="F207" s="23"/>
      <c r="G207" s="23"/>
      <c r="H207" s="23"/>
    </row>
    <row r="208">
      <c r="A208" s="2" t="str">
        <f>Alternatif!A36</f>
        <v>A35</v>
      </c>
      <c r="B208" s="2" t="str">
        <f>Alternatif!B36</f>
        <v>Huawei Pura 70 Ultra</v>
      </c>
      <c r="C208" s="21">
        <f t="shared" si="15"/>
        <v>0.5810107817</v>
      </c>
      <c r="D208" s="21">
        <f t="shared" si="16"/>
        <v>10</v>
      </c>
      <c r="E208" s="23"/>
      <c r="F208" s="23"/>
      <c r="G208" s="23"/>
      <c r="H208" s="23"/>
    </row>
    <row r="209">
      <c r="A209" s="2" t="str">
        <f>Alternatif!A37</f>
        <v>A36</v>
      </c>
      <c r="B209" s="2" t="str">
        <f>Alternatif!B37</f>
        <v>Huawei P50 Pro</v>
      </c>
      <c r="C209" s="21">
        <f t="shared" si="15"/>
        <v>0.4114222217</v>
      </c>
      <c r="D209" s="21">
        <f t="shared" si="16"/>
        <v>46</v>
      </c>
      <c r="E209" s="23"/>
      <c r="F209" s="23"/>
      <c r="G209" s="23"/>
      <c r="H209" s="23"/>
    </row>
    <row r="210">
      <c r="A210" s="2" t="str">
        <f>Alternatif!A38</f>
        <v>A37</v>
      </c>
      <c r="B210" s="2" t="str">
        <f>Alternatif!B38</f>
        <v>Huawei Nova 9</v>
      </c>
      <c r="C210" s="21">
        <f t="shared" si="15"/>
        <v>0.4348338018</v>
      </c>
      <c r="D210" s="21">
        <f t="shared" si="16"/>
        <v>44</v>
      </c>
      <c r="E210" s="23"/>
      <c r="F210" s="23"/>
      <c r="G210" s="23"/>
      <c r="H210" s="23"/>
    </row>
    <row r="211">
      <c r="A211" s="2" t="str">
        <f>Alternatif!A39</f>
        <v>A38</v>
      </c>
      <c r="B211" s="2" t="str">
        <f>Alternatif!B39</f>
        <v>Huawei Mate 40 Pro</v>
      </c>
      <c r="C211" s="21">
        <f t="shared" si="15"/>
        <v>0.4050813274</v>
      </c>
      <c r="D211" s="21">
        <f t="shared" si="16"/>
        <v>48</v>
      </c>
      <c r="E211" s="23"/>
      <c r="F211" s="23"/>
      <c r="G211" s="23"/>
      <c r="H211" s="23"/>
    </row>
    <row r="212">
      <c r="A212" s="2" t="str">
        <f>Alternatif!A40</f>
        <v>A39</v>
      </c>
      <c r="B212" s="2" t="str">
        <f>Alternatif!B40</f>
        <v>Huawei Mate 30 Pro</v>
      </c>
      <c r="C212" s="21">
        <f t="shared" si="15"/>
        <v>0.4118366081</v>
      </c>
      <c r="D212" s="21">
        <f t="shared" si="16"/>
        <v>45</v>
      </c>
      <c r="E212" s="23"/>
      <c r="F212" s="23"/>
      <c r="G212" s="23"/>
      <c r="H212" s="23"/>
    </row>
    <row r="213">
      <c r="A213" s="2" t="str">
        <f>Alternatif!A41</f>
        <v>A40</v>
      </c>
      <c r="B213" s="2" t="str">
        <f>Alternatif!B41</f>
        <v>Huawei P40 Pro</v>
      </c>
      <c r="C213" s="21">
        <f t="shared" si="15"/>
        <v>0.405208805</v>
      </c>
      <c r="D213" s="21">
        <f t="shared" si="16"/>
        <v>47</v>
      </c>
      <c r="E213" s="23"/>
      <c r="F213" s="23"/>
      <c r="G213" s="23"/>
      <c r="H213" s="23"/>
    </row>
    <row r="214">
      <c r="A214" s="2" t="str">
        <f>Alternatif!A42</f>
        <v>A41</v>
      </c>
      <c r="B214" s="2" t="str">
        <f>Alternatif!B42</f>
        <v>Huawei Mate Xs</v>
      </c>
      <c r="C214" s="21">
        <f t="shared" si="15"/>
        <v>0.4409325016</v>
      </c>
      <c r="D214" s="21">
        <f t="shared" si="16"/>
        <v>42</v>
      </c>
      <c r="E214" s="23"/>
      <c r="F214" s="23"/>
      <c r="G214" s="23"/>
      <c r="H214" s="23"/>
    </row>
    <row r="215">
      <c r="A215" s="2" t="str">
        <f>Alternatif!A43</f>
        <v>A42</v>
      </c>
      <c r="B215" s="2" t="str">
        <f>Alternatif!B43</f>
        <v>Samsung Galaxy Z Flip7</v>
      </c>
      <c r="C215" s="21">
        <f t="shared" si="15"/>
        <v>0.4399498674</v>
      </c>
      <c r="D215" s="21">
        <f t="shared" si="16"/>
        <v>43</v>
      </c>
      <c r="E215" s="23"/>
      <c r="F215" s="23"/>
      <c r="G215" s="23"/>
      <c r="H215" s="23"/>
    </row>
    <row r="216">
      <c r="A216" s="2" t="str">
        <f>Alternatif!A44</f>
        <v>A43</v>
      </c>
      <c r="B216" s="2" t="str">
        <f>Alternatif!B44</f>
        <v>Samsung Galaxy A17 5G</v>
      </c>
      <c r="C216" s="21">
        <f t="shared" si="15"/>
        <v>0.4942845563</v>
      </c>
      <c r="D216" s="21">
        <f t="shared" si="16"/>
        <v>23</v>
      </c>
      <c r="E216" s="23"/>
      <c r="F216" s="23"/>
      <c r="G216" s="23"/>
      <c r="H216" s="23"/>
    </row>
    <row r="217">
      <c r="A217" s="2" t="str">
        <f>Alternatif!A45</f>
        <v>A44</v>
      </c>
      <c r="B217" s="2" t="str">
        <f>Alternatif!B45</f>
        <v>Samsung Galaxy S25</v>
      </c>
      <c r="C217" s="21">
        <f t="shared" si="15"/>
        <v>0.4450187734</v>
      </c>
      <c r="D217" s="21">
        <f t="shared" si="16"/>
        <v>41</v>
      </c>
      <c r="E217" s="23"/>
      <c r="F217" s="23"/>
      <c r="G217" s="23"/>
      <c r="H217" s="23"/>
    </row>
    <row r="218">
      <c r="A218" s="2" t="str">
        <f>Alternatif!A46</f>
        <v>A45</v>
      </c>
      <c r="B218" s="2" t="str">
        <f>Alternatif!B46</f>
        <v>Infinix Hot 50 5G</v>
      </c>
      <c r="C218" s="21">
        <f t="shared" si="15"/>
        <v>0.563640828</v>
      </c>
      <c r="D218" s="21">
        <f t="shared" si="16"/>
        <v>11</v>
      </c>
      <c r="E218" s="23"/>
      <c r="F218" s="23"/>
      <c r="G218" s="23"/>
      <c r="H218" s="23"/>
    </row>
    <row r="219">
      <c r="A219" s="2" t="str">
        <f>Alternatif!A47</f>
        <v>A46</v>
      </c>
      <c r="B219" s="2" t="str">
        <f>Alternatif!B47</f>
        <v>Infinix Hot 60 Pro</v>
      </c>
      <c r="C219" s="21">
        <f t="shared" si="15"/>
        <v>0.5632125646</v>
      </c>
      <c r="D219" s="21">
        <f t="shared" si="16"/>
        <v>12</v>
      </c>
      <c r="E219" s="23"/>
      <c r="F219" s="23"/>
      <c r="G219" s="23"/>
      <c r="H219" s="23"/>
    </row>
    <row r="220">
      <c r="A220" s="2" t="str">
        <f>Alternatif!A48</f>
        <v>A47</v>
      </c>
      <c r="B220" s="2" t="str">
        <f>Alternatif!B48</f>
        <v>Infinix GT 30 Pro</v>
      </c>
      <c r="C220" s="21">
        <f t="shared" si="15"/>
        <v>0.6444987489</v>
      </c>
      <c r="D220" s="21">
        <f t="shared" si="16"/>
        <v>2</v>
      </c>
      <c r="E220" s="23"/>
      <c r="F220" s="23"/>
      <c r="G220" s="23"/>
      <c r="H220" s="23"/>
    </row>
    <row r="221">
      <c r="A221" s="2" t="str">
        <f>Alternatif!A49</f>
        <v>A48</v>
      </c>
      <c r="B221" s="2" t="str">
        <f>Alternatif!B49</f>
        <v>Infinix Hot 60i</v>
      </c>
      <c r="C221" s="21">
        <f t="shared" si="15"/>
        <v>0.6163592391</v>
      </c>
      <c r="D221" s="21">
        <f t="shared" si="16"/>
        <v>4</v>
      </c>
      <c r="E221" s="23"/>
      <c r="F221" s="23"/>
      <c r="G221" s="23"/>
      <c r="H221" s="23"/>
    </row>
    <row r="222">
      <c r="A222" s="2" t="str">
        <f>Alternatif!A50</f>
        <v>A49</v>
      </c>
      <c r="B222" s="2" t="str">
        <f>Alternatif!B50</f>
        <v>Realme Narzo 60</v>
      </c>
      <c r="C222" s="21">
        <f t="shared" si="15"/>
        <v>0.4507030694</v>
      </c>
      <c r="D222" s="21">
        <f t="shared" si="16"/>
        <v>37</v>
      </c>
      <c r="E222" s="23"/>
      <c r="F222" s="23"/>
      <c r="G222" s="23"/>
      <c r="H222" s="23"/>
    </row>
    <row r="223">
      <c r="A223" s="2" t="str">
        <f>Alternatif!A51</f>
        <v>A50</v>
      </c>
      <c r="B223" s="2" t="str">
        <f>Alternatif!B51</f>
        <v>Infinix Note 20</v>
      </c>
      <c r="C223" s="21">
        <f t="shared" si="15"/>
        <v>0.5486530041</v>
      </c>
      <c r="D223" s="21">
        <f t="shared" si="16"/>
        <v>14</v>
      </c>
      <c r="E223" s="23"/>
      <c r="F223" s="23"/>
      <c r="G223" s="23"/>
      <c r="H223" s="23"/>
    </row>
  </sheetData>
  <mergeCells count="6">
    <mergeCell ref="A1:D1"/>
    <mergeCell ref="A10:H10"/>
    <mergeCell ref="C63:H63"/>
    <mergeCell ref="A66:H66"/>
    <mergeCell ref="A119:I119"/>
    <mergeCell ref="A172:D172"/>
  </mergeCells>
  <drawing r:id="rId1"/>
</worksheet>
</file>